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 activeTab="1"/>
  </bookViews>
  <sheets>
    <sheet name="Property Information" sheetId="1" r:id="rId1"/>
    <sheet name="Rent Roll Data" sheetId="2" r:id="rId2"/>
    <sheet name="Appraisal Summary" sheetId="3" r:id="rId3"/>
  </sheets>
  <calcPr fullPrecision="1" calcId="125725"/>
</workbook>
</file>

<file path=xl/sharedStrings.xml><?xml version="1.0" encoding="utf-8"?>
<sst xmlns="http://schemas.openxmlformats.org/spreadsheetml/2006/main" uniqueCount="173" count="312">
  <si>
    <t>Property ID</t>
  </si>
  <si>
    <t>Property Name</t>
  </si>
  <si>
    <t>Property Type</t>
  </si>
  <si>
    <t>Address</t>
  </si>
  <si>
    <t>City</t>
  </si>
  <si>
    <t>State</t>
  </si>
  <si>
    <t>Zip Code</t>
  </si>
  <si>
    <t>Year Built</t>
  </si>
  <si>
    <t>Building Class</t>
  </si>
  <si>
    <t>Gross Building Area (Sq Ft)</t>
  </si>
  <si>
    <t>Net Rentable Area (Sq Ft)</t>
  </si>
  <si>
    <t>Land Area (Acres)</t>
  </si>
  <si>
    <t>Number of Floors</t>
  </si>
  <si>
    <t>Total Rental Units</t>
  </si>
  <si>
    <t>Property Manager</t>
  </si>
  <si>
    <t>Owner Name</t>
  </si>
  <si>
    <t>Appraisal Date</t>
  </si>
  <si>
    <t>Market Cap Rate</t>
  </si>
  <si>
    <t>Average Annual Operating Expense</t>
  </si>
  <si>
    <t>Average Annual Maintenance Expense</t>
  </si>
  <si>
    <t>Property Condition</t>
  </si>
  <si>
    <t>PROP-001</t>
  </si>
  <si>
    <t>Sunset Towers</t>
  </si>
  <si>
    <t>Commercial Office Building</t>
  </si>
  <si>
    <t>125 Market Street</t>
  </si>
  <si>
    <t>Chicago</t>
  </si>
  <si>
    <t>IL</t>
  </si>
  <si>
    <t>A</t>
  </si>
  <si>
    <t>Michael Johnson</t>
  </si>
  <si>
    <t>Sunset Holdings LLC</t>
  </si>
  <si>
    <t>Excellent</t>
  </si>
  <si>
    <t>Unit Number</t>
  </si>
  <si>
    <t>Tenant ID</t>
  </si>
  <si>
    <t>Tenant Name</t>
  </si>
  <si>
    <t>Industry Type</t>
  </si>
  <si>
    <t>Lease Start Date</t>
  </si>
  <si>
    <t>Lease End Date</t>
  </si>
  <si>
    <t>Lease Term (Months)</t>
  </si>
  <si>
    <t>Square Feet Leased</t>
  </si>
  <si>
    <t>Monthly Base Rent</t>
  </si>
  <si>
    <t>Additional Rent</t>
  </si>
  <si>
    <t>Monthly Rent Total</t>
  </si>
  <si>
    <t>Security Deposit</t>
  </si>
  <si>
    <t>Occupancy Status</t>
  </si>
  <si>
    <t>Annual Rent</t>
  </si>
  <si>
    <t>Remaining Lease Term (Months)</t>
  </si>
  <si>
    <t>Renewal Probability</t>
  </si>
  <si>
    <t>Credit Rating</t>
  </si>
  <si>
    <t>Notes</t>
  </si>
  <si>
    <t>T001</t>
  </si>
  <si>
    <t>Tenant 1</t>
  </si>
  <si>
    <t>Finance</t>
  </si>
  <si>
    <t>Occupied</t>
  </si>
  <si>
    <t>B</t>
  </si>
  <si>
    <t>T002</t>
  </si>
  <si>
    <t>Tenant 2</t>
  </si>
  <si>
    <t>Healthcare</t>
  </si>
  <si>
    <t>A-</t>
  </si>
  <si>
    <t>T003</t>
  </si>
  <si>
    <t>Tenant 3</t>
  </si>
  <si>
    <t>B+</t>
  </si>
  <si>
    <t>T004</t>
  </si>
  <si>
    <t>Tenant 4</t>
  </si>
  <si>
    <t>Legal</t>
  </si>
  <si>
    <t>T005</t>
  </si>
  <si>
    <t>Tenant 5</t>
  </si>
  <si>
    <t>T006</t>
  </si>
  <si>
    <t>Tenant 6</t>
  </si>
  <si>
    <t>Vacant</t>
  </si>
  <si>
    <t>T007</t>
  </si>
  <si>
    <t>Tenant 7</t>
  </si>
  <si>
    <t>T008</t>
  </si>
  <si>
    <t>Tenant 8</t>
  </si>
  <si>
    <t>Consulting</t>
  </si>
  <si>
    <t>T009</t>
  </si>
  <si>
    <t>Tenant 9</t>
  </si>
  <si>
    <t>Technology</t>
  </si>
  <si>
    <t>T010</t>
  </si>
  <si>
    <t>Tenant 10</t>
  </si>
  <si>
    <t>T011</t>
  </si>
  <si>
    <t>Tenant 11</t>
  </si>
  <si>
    <t>T012</t>
  </si>
  <si>
    <t>Tenant 12</t>
  </si>
  <si>
    <t>T013</t>
  </si>
  <si>
    <t>Tenant 13</t>
  </si>
  <si>
    <t>Marketing</t>
  </si>
  <si>
    <t>T014</t>
  </si>
  <si>
    <t>Tenant 14</t>
  </si>
  <si>
    <t>T015</t>
  </si>
  <si>
    <t>Tenant 15</t>
  </si>
  <si>
    <t>T016</t>
  </si>
  <si>
    <t>Tenant 16</t>
  </si>
  <si>
    <t>T017</t>
  </si>
  <si>
    <t>Tenant 17</t>
  </si>
  <si>
    <t>T018</t>
  </si>
  <si>
    <t>Tenant 18</t>
  </si>
  <si>
    <t>T019</t>
  </si>
  <si>
    <t>Tenant 19</t>
  </si>
  <si>
    <t>T020</t>
  </si>
  <si>
    <t>Tenant 20</t>
  </si>
  <si>
    <t>T021</t>
  </si>
  <si>
    <t>Tenant 21</t>
  </si>
  <si>
    <t>T022</t>
  </si>
  <si>
    <t>Tenant 22</t>
  </si>
  <si>
    <t>T023</t>
  </si>
  <si>
    <t>Tenant 23</t>
  </si>
  <si>
    <t>T024</t>
  </si>
  <si>
    <t>Tenant 24</t>
  </si>
  <si>
    <t>T025</t>
  </si>
  <si>
    <t>Tenant 25</t>
  </si>
  <si>
    <t>T026</t>
  </si>
  <si>
    <t>Tenant 26</t>
  </si>
  <si>
    <t>T027</t>
  </si>
  <si>
    <t>Tenant 27</t>
  </si>
  <si>
    <t>T028</t>
  </si>
  <si>
    <t>Tenant 28</t>
  </si>
  <si>
    <t>T029</t>
  </si>
  <si>
    <t>Tenant 29</t>
  </si>
  <si>
    <t>T030</t>
  </si>
  <si>
    <t>Tenant 30</t>
  </si>
  <si>
    <t>T031</t>
  </si>
  <si>
    <t>Tenant 31</t>
  </si>
  <si>
    <t>T032</t>
  </si>
  <si>
    <t>Tenant 32</t>
  </si>
  <si>
    <t>T033</t>
  </si>
  <si>
    <t>Tenant 33</t>
  </si>
  <si>
    <t>T034</t>
  </si>
  <si>
    <t>Tenant 34</t>
  </si>
  <si>
    <t>T035</t>
  </si>
  <si>
    <t>Tenant 35</t>
  </si>
  <si>
    <t>T036</t>
  </si>
  <si>
    <t>Tenant 36</t>
  </si>
  <si>
    <t>T037</t>
  </si>
  <si>
    <t>Tenant 37</t>
  </si>
  <si>
    <t>T038</t>
  </si>
  <si>
    <t>Tenant 38</t>
  </si>
  <si>
    <t>T039</t>
  </si>
  <si>
    <t>Tenant 39</t>
  </si>
  <si>
    <t>T040</t>
  </si>
  <si>
    <t>Tenant 40</t>
  </si>
  <si>
    <t>T041</t>
  </si>
  <si>
    <t>Tenant 41</t>
  </si>
  <si>
    <t>T042</t>
  </si>
  <si>
    <t>Tenant 42</t>
  </si>
  <si>
    <t>T043</t>
  </si>
  <si>
    <t>Tenant 43</t>
  </si>
  <si>
    <t>T044</t>
  </si>
  <si>
    <t>Tenant 44</t>
  </si>
  <si>
    <t>T045</t>
  </si>
  <si>
    <t>Tenant 45</t>
  </si>
  <si>
    <t>T046</t>
  </si>
  <si>
    <t>Tenant 46</t>
  </si>
  <si>
    <t>T047</t>
  </si>
  <si>
    <t>Tenant 47</t>
  </si>
  <si>
    <t>T048</t>
  </si>
  <si>
    <t>Tenant 48</t>
  </si>
  <si>
    <t>T049</t>
  </si>
  <si>
    <t>Tenant 49</t>
  </si>
  <si>
    <t>T050</t>
  </si>
  <si>
    <t>Tenant 50</t>
  </si>
  <si>
    <t>Total Units</t>
  </si>
  <si>
    <t>Occupied Units</t>
  </si>
  <si>
    <t>Vacant Units</t>
  </si>
  <si>
    <t>Occupancy Percentage</t>
  </si>
  <si>
    <t>Total Monthly Rent</t>
  </si>
  <si>
    <t>Total Annual Rent</t>
  </si>
  <si>
    <t>Average Monthly Rent</t>
  </si>
  <si>
    <t>Largest Unit Size</t>
  </si>
  <si>
    <t>Highest Annual Rent</t>
  </si>
  <si>
    <t>Operating Expenses</t>
  </si>
  <si>
    <t>Maintenance Expenses</t>
  </si>
  <si>
    <t>NOI</t>
  </si>
  <si>
    <t>Property Value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</si>
</sst>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&quot;$&quot;#,##0.00"/>
  </numFmts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color rgb="FFFFFFFF"/>
      <name val="Calibri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32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  <xf numFmtId="0" fontId="0" fillId="0" borderId="0"/>
    <xf numFmtId="0" fontId="0" fillId="0" borderId="0">
      <protection locked="0"/>
    </xf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5" fillId="2" borderId="0" xfId="0" applyFont="1" applyFill="1"/>
    <xf numFmtId="164" fontId="0" fillId="0" borderId="0" xfId="0" applyNumberFormat="1"/>
    <xf numFmtId="164" fontId="5" fillId="2" borderId="0" xfId="0" applyFont="1" applyNumberFormat="1" applyFill="1"/>
    <xf numFmtId="14" fontId="0" fillId="0" borderId="0" xfId="0" applyNumberFormat="1"/>
    <xf numFmtId="10" fontId="0" fillId="0" borderId="0" xfId="0" applyNumberFormat="1"/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roperty InformationLockedColumnStyle" xfId="20"/>
    <cellStyle name="Property InformationUnLockedColumnStyle" xfId="21"/>
    <cellStyle name="Rent Roll DataLockedColumnStyle" xfId="22"/>
    <cellStyle name="Rent Roll DataUnLockedColumnStyle" xfId="23"/>
    <cellStyle name="Appraisal SummaryLockedColumnStyle" xfId="24"/>
    <cellStyle name="Appraisal SummaryUnLockedColumnStyle" xfId="25"/>
  </cellStyles>
  <dxfs count="1">
    <dxf>
      <font/>
      <fill>
        <patternFill>
          <fgColor rgb="FF000000"/>
          <bgColor rgb="FFFFFFFF"/>
        </patternFill>
      </fill>
    </dxf>
  </dxfs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U2"/>
  <sheetViews>
    <sheetView topLeftCell="A1" view="normal" workbookViewId="0">
      <selection pane="topLeft" activeCell="A1" sqref="A1"/>
    </sheetView>
  </sheetViews>
  <sheetFormatPr customHeight="true" defaultRowHeight="14.4"/>
  <cols>
    <col min="1" max="1" width="10.5703125" customWidth="1"/>
    <col min="2" max="2" width="13.84765625" customWidth="1"/>
    <col min="3" max="3" width="23.27734375" customWidth="1"/>
    <col min="4" max="4" width="15.7109375" customWidth="1"/>
    <col min="5" max="5" width="7.41796875" customWidth="1"/>
    <col min="6" max="6" width="5.27734375" customWidth="1"/>
    <col min="7" max="7" width="8.27734375" customWidth="1"/>
    <col min="9" max="9" width="12.27734375" customWidth="1"/>
    <col min="10" max="10" width="23.27734375" customWidth="1"/>
    <col min="11" max="11" width="22.41796875" customWidth="1"/>
    <col min="12" max="12" width="15.84765625" customWidth="1"/>
    <col min="13" max="13" width="15.7109375" customWidth="1"/>
    <col min="14" max="14" width="15.84765625" customWidth="1"/>
    <col min="15" max="15" width="16.41796875" customWidth="1"/>
    <col min="16" max="16" width="17.27734375" customWidth="1"/>
    <col min="17" max="17" width="13.27734375" customWidth="1"/>
    <col min="18" max="18" width="15.140625" customWidth="1"/>
    <col min="19" max="19" width="31" customWidth="1"/>
    <col min="20" max="20" width="33.84765625" customWidth="1"/>
    <col min="21" max="21" width="17.27734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60601</v>
      </c>
      <c r="H2">
        <v>2015</v>
      </c>
      <c r="I2" t="s">
        <v>27</v>
      </c>
      <c r="J2">
        <v>120000</v>
      </c>
      <c r="K2">
        <v>100000</v>
      </c>
      <c r="L2">
        <v>2.5</v>
      </c>
      <c r="M2">
        <v>15</v>
      </c>
      <c r="N2">
        <v>50</v>
      </c>
      <c r="O2" t="s">
        <v>28</v>
      </c>
      <c r="P2" t="s">
        <v>29</v>
      </c>
      <c r="Q2">
        <v>46301</v>
      </c>
      <c r="R2">
        <v>0.065</v>
      </c>
      <c r="S2" s="2">
        <v>450000</v>
      </c>
      <c r="T2" s="2">
        <v>120000</v>
      </c>
      <c r="U2" t="s">
        <v>30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R51"/>
  <sheetViews>
    <sheetView topLeftCell="A1" view="normal" tabSelected="1" workbookViewId="0">
      <selection pane="topLeft" activeCell="A1" sqref="A1"/>
    </sheetView>
  </sheetViews>
  <sheetFormatPr customHeight="true" defaultRowHeight="14.4"/>
  <cols>
    <col min="1" max="1" width="14.5703125" customWidth="1"/>
    <col min="2" max="4" width="22" customWidth="1"/>
    <col min="5" max="5" width="18.5703125" customWidth="1"/>
    <col min="6" max="6" width="20" customWidth="1"/>
    <col min="7" max="14" width="22" customWidth="1"/>
    <col min="15" max="15" width="30.7109375" customWidth="1"/>
    <col min="16" max="18" width="22" customWidth="1"/>
  </cols>
  <sheetData>
    <row r="1" spans="1:18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1" t="s">
        <v>43</v>
      </c>
      <c r="N1" s="3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 spans="1:17">
      <c r="A2">
        <v>1</v>
      </c>
      <c r="B2" t="s">
        <v>49</v>
      </c>
      <c r="C2" t="s">
        <v>50</v>
      </c>
      <c r="D2" t="s">
        <v>51</v>
      </c>
      <c r="E2" s="4">
        <v>45292</v>
      </c>
      <c r="F2" s="4">
        <v>47118</v>
      </c>
      <c r="G2">
        <v>60</v>
      </c>
      <c r="H2">
        <v>3217</v>
      </c>
      <c r="I2" s="2">
        <v>4398</v>
      </c>
      <c r="J2" s="2">
        <v>426</v>
      </c>
      <c r="K2" s="2">
        <f ca="1">IF(M2="Occupied",I2+J2,0)</f>
        <v>0</v>
      </c>
      <c r="L2" s="2">
        <v>8796</v>
      </c>
      <c r="M2" t="s">
        <v>52</v>
      </c>
      <c r="N2" s="2">
        <f ca="1">K2*12</f>
        <v>0</v>
      </c>
      <c r="O2">
        <f ca="1">DATEDIF(TODAY(),F2,"M")</f>
        <v>0</v>
      </c>
      <c r="P2">
        <v>0.6</v>
      </c>
      <c r="Q2" t="s">
        <v>53</v>
      </c>
    </row>
    <row r="3" spans="1:17">
      <c r="A3">
        <v>2</v>
      </c>
      <c r="B3" t="s">
        <v>54</v>
      </c>
      <c r="C3" t="s">
        <v>55</v>
      </c>
      <c r="D3" t="s">
        <v>56</v>
      </c>
      <c r="E3" s="4">
        <v>45292</v>
      </c>
      <c r="F3" s="4">
        <v>47118</v>
      </c>
      <c r="G3">
        <v>24</v>
      </c>
      <c r="H3">
        <v>1145</v>
      </c>
      <c r="I3" s="2">
        <v>5634</v>
      </c>
      <c r="J3" s="2">
        <v>790</v>
      </c>
      <c r="K3" s="2">
        <f ca="1">IF(M3="Occupied",I3+J3,0)</f>
        <v>0</v>
      </c>
      <c r="L3" s="2">
        <v>11268</v>
      </c>
      <c r="M3" t="s">
        <v>52</v>
      </c>
      <c r="N3" s="2">
        <f ca="1">K3*12</f>
        <v>0</v>
      </c>
      <c r="O3">
        <f ca="1">DATEDIF(TODAY(),F3,"M")</f>
        <v>0</v>
      </c>
      <c r="P3">
        <v>0.7</v>
      </c>
      <c r="Q3" t="s">
        <v>57</v>
      </c>
    </row>
    <row r="4" spans="1:17">
      <c r="A4">
        <v>3</v>
      </c>
      <c r="B4" t="s">
        <v>58</v>
      </c>
      <c r="C4" t="s">
        <v>59</v>
      </c>
      <c r="D4" t="s">
        <v>56</v>
      </c>
      <c r="E4" s="4">
        <v>45292</v>
      </c>
      <c r="F4" s="4">
        <v>47118</v>
      </c>
      <c r="G4">
        <v>60</v>
      </c>
      <c r="H4">
        <v>2727</v>
      </c>
      <c r="I4" s="2">
        <v>3753</v>
      </c>
      <c r="J4" s="2">
        <v>156</v>
      </c>
      <c r="K4" s="2">
        <f ca="1">IF(M4="Occupied",I4+J4,0)</f>
        <v>0</v>
      </c>
      <c r="L4" s="2">
        <v>7506</v>
      </c>
      <c r="M4" t="s">
        <v>52</v>
      </c>
      <c r="N4" s="2">
        <f ca="1">K4*12</f>
        <v>0</v>
      </c>
      <c r="O4">
        <f ca="1">DATEDIF(TODAY(),F4,"M")</f>
        <v>0</v>
      </c>
      <c r="P4">
        <v>0.6</v>
      </c>
      <c r="Q4" t="s">
        <v>60</v>
      </c>
    </row>
    <row r="5" spans="1:17">
      <c r="A5">
        <v>4</v>
      </c>
      <c r="B5" t="s">
        <v>61</v>
      </c>
      <c r="C5" t="s">
        <v>62</v>
      </c>
      <c r="D5" t="s">
        <v>63</v>
      </c>
      <c r="E5" s="4">
        <v>45292</v>
      </c>
      <c r="F5" s="4">
        <v>47118</v>
      </c>
      <c r="G5">
        <v>48</v>
      </c>
      <c r="H5">
        <v>1269</v>
      </c>
      <c r="I5" s="2">
        <v>2768</v>
      </c>
      <c r="J5" s="2">
        <v>280</v>
      </c>
      <c r="K5" s="2">
        <f ca="1">IF(M5="Occupied",I5+J5,0)</f>
        <v>0</v>
      </c>
      <c r="L5" s="2">
        <v>5536</v>
      </c>
      <c r="M5" t="s">
        <v>52</v>
      </c>
      <c r="N5" s="2">
        <f ca="1">K5*12</f>
        <v>0</v>
      </c>
      <c r="O5">
        <f ca="1">DATEDIF(TODAY(),F5,"M")</f>
        <v>0</v>
      </c>
      <c r="P5">
        <v>0.6</v>
      </c>
      <c r="Q5" t="s">
        <v>57</v>
      </c>
    </row>
    <row r="6" spans="1:17">
      <c r="A6">
        <v>5</v>
      </c>
      <c r="B6" t="s">
        <v>64</v>
      </c>
      <c r="C6" t="s">
        <v>65</v>
      </c>
      <c r="D6" t="s">
        <v>56</v>
      </c>
      <c r="E6" s="4">
        <v>45292</v>
      </c>
      <c r="F6" s="4">
        <v>47118</v>
      </c>
      <c r="G6">
        <v>24</v>
      </c>
      <c r="H6">
        <v>1571</v>
      </c>
      <c r="I6" s="2">
        <v>4891</v>
      </c>
      <c r="J6" s="2">
        <v>169</v>
      </c>
      <c r="K6" s="2">
        <f ca="1">IF(M6="Occupied",I6+J6,0)</f>
        <v>0</v>
      </c>
      <c r="L6" s="2">
        <v>9782</v>
      </c>
      <c r="M6" t="s">
        <v>52</v>
      </c>
      <c r="N6" s="2">
        <f ca="1">K6*12</f>
        <v>0</v>
      </c>
      <c r="O6">
        <f ca="1">DATEDIF(TODAY(),F6,"M")</f>
        <v>0</v>
      </c>
      <c r="P6">
        <v>0.7</v>
      </c>
      <c r="Q6" t="s">
        <v>57</v>
      </c>
    </row>
    <row r="7" spans="1:17">
      <c r="A7">
        <v>6</v>
      </c>
      <c r="B7" t="s">
        <v>66</v>
      </c>
      <c r="C7" t="s">
        <v>67</v>
      </c>
      <c r="D7" t="s">
        <v>56</v>
      </c>
      <c r="E7" s="4">
        <v>45292</v>
      </c>
      <c r="F7" s="4">
        <v>47118</v>
      </c>
      <c r="G7">
        <v>48</v>
      </c>
      <c r="H7">
        <v>1619</v>
      </c>
      <c r="I7" s="2">
        <v>3267</v>
      </c>
      <c r="J7" s="2">
        <v>186</v>
      </c>
      <c r="K7" s="2">
        <f ca="1">IF(M7="Occupied",I7+J7,0)</f>
        <v>0</v>
      </c>
      <c r="L7" s="2">
        <v>8250</v>
      </c>
      <c r="M7" t="s">
        <v>68</v>
      </c>
      <c r="N7" s="2">
        <f ca="1">K7*12</f>
        <v>0</v>
      </c>
      <c r="O7">
        <f ca="1">DATEDIF(TODAY(),F7,"M")</f>
        <v>0</v>
      </c>
      <c r="P7">
        <v>0.8</v>
      </c>
      <c r="Q7" t="s">
        <v>53</v>
      </c>
    </row>
    <row r="8" spans="1:17">
      <c r="A8">
        <v>7</v>
      </c>
      <c r="B8" t="s">
        <v>69</v>
      </c>
      <c r="C8" t="s">
        <v>70</v>
      </c>
      <c r="D8" t="s">
        <v>63</v>
      </c>
      <c r="E8" s="4">
        <v>45292</v>
      </c>
      <c r="F8" s="4">
        <v>47118</v>
      </c>
      <c r="G8">
        <v>60</v>
      </c>
      <c r="H8">
        <v>3059</v>
      </c>
      <c r="I8" s="2">
        <v>5852</v>
      </c>
      <c r="J8" s="2">
        <v>316</v>
      </c>
      <c r="K8" s="2">
        <f ca="1">IF(M8="Occupied",I8+J8,0)</f>
        <v>0</v>
      </c>
      <c r="L8" s="2">
        <v>11704</v>
      </c>
      <c r="M8" t="s">
        <v>52</v>
      </c>
      <c r="N8" s="2">
        <f ca="1">K8*12</f>
        <v>0</v>
      </c>
      <c r="O8">
        <f ca="1">DATEDIF(TODAY(),F8,"M")</f>
        <v>0</v>
      </c>
      <c r="P8">
        <v>0.6</v>
      </c>
      <c r="Q8" t="s">
        <v>57</v>
      </c>
    </row>
    <row r="9" spans="1:17">
      <c r="A9">
        <v>8</v>
      </c>
      <c r="B9" t="s">
        <v>71</v>
      </c>
      <c r="C9" t="s">
        <v>72</v>
      </c>
      <c r="D9" t="s">
        <v>73</v>
      </c>
      <c r="E9" s="4">
        <v>45292</v>
      </c>
      <c r="F9" s="4">
        <v>47118</v>
      </c>
      <c r="G9">
        <v>24</v>
      </c>
      <c r="H9">
        <v>3257</v>
      </c>
      <c r="I9" s="2">
        <v>2940</v>
      </c>
      <c r="J9" s="2">
        <v>539</v>
      </c>
      <c r="K9" s="2">
        <f ca="1">IF(M9="Occupied",I9+J9,0)</f>
        <v>0</v>
      </c>
      <c r="L9" s="2">
        <v>5880</v>
      </c>
      <c r="M9" t="s">
        <v>52</v>
      </c>
      <c r="N9" s="2">
        <f ca="1">K9*12</f>
        <v>0</v>
      </c>
      <c r="O9">
        <f ca="1">DATEDIF(TODAY(),F9,"M")</f>
        <v>0</v>
      </c>
      <c r="P9">
        <v>0.6</v>
      </c>
      <c r="Q9" t="s">
        <v>57</v>
      </c>
    </row>
    <row r="10" spans="1:17">
      <c r="A10">
        <v>9</v>
      </c>
      <c r="B10" t="s">
        <v>74</v>
      </c>
      <c r="C10" t="s">
        <v>75</v>
      </c>
      <c r="D10" t="s">
        <v>76</v>
      </c>
      <c r="E10" s="4">
        <v>45292</v>
      </c>
      <c r="F10" s="4">
        <v>47118</v>
      </c>
      <c r="G10">
        <v>36</v>
      </c>
      <c r="H10">
        <v>1523</v>
      </c>
      <c r="I10" s="2">
        <v>4339</v>
      </c>
      <c r="J10" s="2">
        <v>798</v>
      </c>
      <c r="K10" s="2">
        <f ca="1">IF(M10="Occupied",I10+J10,0)</f>
        <v>0</v>
      </c>
      <c r="L10" s="2">
        <v>8678</v>
      </c>
      <c r="M10" t="s">
        <v>52</v>
      </c>
      <c r="N10" s="2">
        <f ca="1">K10*12</f>
        <v>0</v>
      </c>
      <c r="O10">
        <f ca="1">DATEDIF(TODAY(),F10,"M")</f>
        <v>0</v>
      </c>
      <c r="P10">
        <v>0.9</v>
      </c>
      <c r="Q10" t="s">
        <v>53</v>
      </c>
    </row>
    <row r="11" spans="1:17">
      <c r="A11">
        <v>10</v>
      </c>
      <c r="B11" t="s">
        <v>77</v>
      </c>
      <c r="C11" t="s">
        <v>78</v>
      </c>
      <c r="D11" t="s">
        <v>63</v>
      </c>
      <c r="E11" s="4">
        <v>45292</v>
      </c>
      <c r="F11" s="4">
        <v>47118</v>
      </c>
      <c r="G11">
        <v>24</v>
      </c>
      <c r="H11">
        <v>2788</v>
      </c>
      <c r="I11" s="2">
        <v>4793</v>
      </c>
      <c r="J11" s="2">
        <v>519</v>
      </c>
      <c r="K11" s="2">
        <f ca="1">IF(M11="Occupied",I11+J11,0)</f>
        <v>0</v>
      </c>
      <c r="L11" s="2">
        <v>9586</v>
      </c>
      <c r="M11" t="s">
        <v>52</v>
      </c>
      <c r="N11" s="2">
        <f ca="1">K11*12</f>
        <v>0</v>
      </c>
      <c r="O11">
        <f ca="1">DATEDIF(TODAY(),F11,"M")</f>
        <v>0</v>
      </c>
      <c r="P11">
        <v>0.9</v>
      </c>
      <c r="Q11" t="s">
        <v>27</v>
      </c>
    </row>
    <row r="12" spans="1:17">
      <c r="A12">
        <v>11</v>
      </c>
      <c r="B12" t="s">
        <v>79</v>
      </c>
      <c r="C12" t="s">
        <v>80</v>
      </c>
      <c r="D12" t="s">
        <v>56</v>
      </c>
      <c r="E12" s="4">
        <v>45292</v>
      </c>
      <c r="F12" s="4">
        <v>47118</v>
      </c>
      <c r="G12">
        <v>36</v>
      </c>
      <c r="H12">
        <v>2240</v>
      </c>
      <c r="I12" s="2">
        <v>4235</v>
      </c>
      <c r="J12" s="2">
        <v>145</v>
      </c>
      <c r="K12" s="2">
        <f ca="1">IF(M12="Occupied",I12+J12,0)</f>
        <v>0</v>
      </c>
      <c r="L12" s="2">
        <v>8470</v>
      </c>
      <c r="M12" t="s">
        <v>52</v>
      </c>
      <c r="N12" s="2">
        <f ca="1">K12*12</f>
        <v>0</v>
      </c>
      <c r="O12">
        <f ca="1">DATEDIF(TODAY(),F12,"M")</f>
        <v>0</v>
      </c>
      <c r="P12">
        <v>0.6</v>
      </c>
      <c r="Q12" t="s">
        <v>57</v>
      </c>
    </row>
    <row r="13" spans="1:17">
      <c r="A13">
        <v>12</v>
      </c>
      <c r="B13" t="s">
        <v>81</v>
      </c>
      <c r="C13" t="s">
        <v>82</v>
      </c>
      <c r="D13" t="s">
        <v>76</v>
      </c>
      <c r="E13" s="4">
        <v>45292</v>
      </c>
      <c r="F13" s="4">
        <v>47118</v>
      </c>
      <c r="G13">
        <v>24</v>
      </c>
      <c r="H13">
        <v>2200</v>
      </c>
      <c r="I13" s="2">
        <v>3756</v>
      </c>
      <c r="J13" s="2">
        <v>698</v>
      </c>
      <c r="K13" s="2">
        <f ca="1">IF(M13="Occupied",I13+J13,0)</f>
        <v>0</v>
      </c>
      <c r="L13" s="2">
        <v>7512</v>
      </c>
      <c r="M13" t="s">
        <v>52</v>
      </c>
      <c r="N13" s="2">
        <f ca="1">K13*12</f>
        <v>0</v>
      </c>
      <c r="O13">
        <f ca="1">DATEDIF(TODAY(),F13,"M")</f>
        <v>0</v>
      </c>
      <c r="P13">
        <v>0.9</v>
      </c>
      <c r="Q13" t="s">
        <v>57</v>
      </c>
    </row>
    <row r="14" spans="1:17">
      <c r="A14">
        <v>13</v>
      </c>
      <c r="B14" t="s">
        <v>83</v>
      </c>
      <c r="C14" t="s">
        <v>84</v>
      </c>
      <c r="D14" t="s">
        <v>85</v>
      </c>
      <c r="E14" s="4">
        <v>45292</v>
      </c>
      <c r="F14" s="4">
        <v>47118</v>
      </c>
      <c r="G14">
        <v>36</v>
      </c>
      <c r="H14">
        <v>1137</v>
      </c>
      <c r="I14" s="2">
        <v>2469</v>
      </c>
      <c r="J14" s="2">
        <v>136</v>
      </c>
      <c r="K14" s="2">
        <f ca="1">IF(M14="Occupied",I14+J14,0)</f>
        <v>0</v>
      </c>
      <c r="L14" s="2">
        <v>5437</v>
      </c>
      <c r="M14" t="s">
        <v>68</v>
      </c>
      <c r="N14" s="2">
        <f ca="1">K14*12</f>
        <v>0</v>
      </c>
      <c r="O14">
        <f ca="1">DATEDIF(TODAY(),F14,"M")</f>
        <v>0</v>
      </c>
      <c r="P14">
        <v>0.7</v>
      </c>
      <c r="Q14" t="s">
        <v>53</v>
      </c>
    </row>
    <row r="15" spans="1:17">
      <c r="A15">
        <v>14</v>
      </c>
      <c r="B15" t="s">
        <v>86</v>
      </c>
      <c r="C15" t="s">
        <v>87</v>
      </c>
      <c r="D15" t="s">
        <v>73</v>
      </c>
      <c r="E15" s="4">
        <v>45292</v>
      </c>
      <c r="F15" s="4">
        <v>47118</v>
      </c>
      <c r="G15">
        <v>24</v>
      </c>
      <c r="H15">
        <v>1067</v>
      </c>
      <c r="I15" s="2">
        <v>5082</v>
      </c>
      <c r="J15" s="2">
        <v>134</v>
      </c>
      <c r="K15" s="2">
        <f ca="1">IF(M15="Occupied",I15+J15,0)</f>
        <v>0</v>
      </c>
      <c r="L15" s="2">
        <v>10164</v>
      </c>
      <c r="M15" t="s">
        <v>52</v>
      </c>
      <c r="N15" s="2">
        <f ca="1">K15*12</f>
        <v>0</v>
      </c>
      <c r="O15">
        <f ca="1">DATEDIF(TODAY(),F15,"M")</f>
        <v>0</v>
      </c>
      <c r="P15">
        <v>0.6</v>
      </c>
      <c r="Q15" t="s">
        <v>60</v>
      </c>
    </row>
    <row r="16" spans="1:17">
      <c r="A16">
        <v>15</v>
      </c>
      <c r="B16" t="s">
        <v>88</v>
      </c>
      <c r="C16" t="s">
        <v>89</v>
      </c>
      <c r="D16" t="s">
        <v>73</v>
      </c>
      <c r="E16" s="4">
        <v>45292</v>
      </c>
      <c r="F16" s="4">
        <v>47118</v>
      </c>
      <c r="G16">
        <v>36</v>
      </c>
      <c r="H16">
        <v>1415</v>
      </c>
      <c r="I16" s="2">
        <v>1909</v>
      </c>
      <c r="J16" s="2">
        <v>629</v>
      </c>
      <c r="K16" s="2">
        <f ca="1">IF(M16="Occupied",I16+J16,0)</f>
        <v>0</v>
      </c>
      <c r="L16" s="2">
        <v>3818</v>
      </c>
      <c r="M16" t="s">
        <v>52</v>
      </c>
      <c r="N16" s="2">
        <f ca="1">K16*12</f>
        <v>0</v>
      </c>
      <c r="O16">
        <f ca="1">DATEDIF(TODAY(),F16,"M")</f>
        <v>0</v>
      </c>
      <c r="P16">
        <v>0.6</v>
      </c>
      <c r="Q16" t="s">
        <v>57</v>
      </c>
    </row>
    <row r="17" spans="1:17">
      <c r="A17">
        <v>16</v>
      </c>
      <c r="B17" t="s">
        <v>90</v>
      </c>
      <c r="C17" t="s">
        <v>91</v>
      </c>
      <c r="D17" t="s">
        <v>73</v>
      </c>
      <c r="E17" s="4">
        <v>45292</v>
      </c>
      <c r="F17" s="4">
        <v>47118</v>
      </c>
      <c r="G17">
        <v>60</v>
      </c>
      <c r="H17">
        <v>2885</v>
      </c>
      <c r="I17" s="2">
        <v>5879</v>
      </c>
      <c r="J17" s="2">
        <v>356</v>
      </c>
      <c r="K17" s="2">
        <f ca="1">IF(M17="Occupied",I17+J17,0)</f>
        <v>0</v>
      </c>
      <c r="L17" s="2">
        <v>11758</v>
      </c>
      <c r="M17" t="s">
        <v>52</v>
      </c>
      <c r="N17" s="2">
        <f ca="1">K17*12</f>
        <v>0</v>
      </c>
      <c r="O17">
        <f ca="1">DATEDIF(TODAY(),F17,"M")</f>
        <v>0</v>
      </c>
      <c r="P17">
        <v>0.8</v>
      </c>
      <c r="Q17" t="s">
        <v>57</v>
      </c>
    </row>
    <row r="18" spans="1:17">
      <c r="A18">
        <v>17</v>
      </c>
      <c r="B18" t="s">
        <v>92</v>
      </c>
      <c r="C18" t="s">
        <v>93</v>
      </c>
      <c r="D18" t="s">
        <v>76</v>
      </c>
      <c r="E18" s="4">
        <v>45292</v>
      </c>
      <c r="F18" s="4">
        <v>47118</v>
      </c>
      <c r="G18">
        <v>24</v>
      </c>
      <c r="H18">
        <v>1813</v>
      </c>
      <c r="I18" s="2">
        <v>3393</v>
      </c>
      <c r="J18" s="2">
        <v>149</v>
      </c>
      <c r="K18" s="2">
        <f ca="1">IF(M18="Occupied",I18+J18,0)</f>
        <v>0</v>
      </c>
      <c r="L18" s="2">
        <v>6786</v>
      </c>
      <c r="M18" t="s">
        <v>52</v>
      </c>
      <c r="N18" s="2">
        <f ca="1">K18*12</f>
        <v>0</v>
      </c>
      <c r="O18">
        <f ca="1">DATEDIF(TODAY(),F18,"M")</f>
        <v>0</v>
      </c>
      <c r="P18">
        <v>0.7</v>
      </c>
      <c r="Q18" t="s">
        <v>27</v>
      </c>
    </row>
    <row r="19" spans="1:17">
      <c r="A19">
        <v>18</v>
      </c>
      <c r="B19" t="s">
        <v>94</v>
      </c>
      <c r="C19" t="s">
        <v>95</v>
      </c>
      <c r="D19" t="s">
        <v>73</v>
      </c>
      <c r="E19" s="4">
        <v>45292</v>
      </c>
      <c r="F19" s="4">
        <v>47118</v>
      </c>
      <c r="G19">
        <v>48</v>
      </c>
      <c r="H19">
        <v>2019</v>
      </c>
      <c r="I19" s="2">
        <v>3011</v>
      </c>
      <c r="J19" s="2">
        <v>796</v>
      </c>
      <c r="K19" s="2">
        <f ca="1">IF(M19="Occupied",I19+J19,0)</f>
        <v>0</v>
      </c>
      <c r="L19" s="2">
        <v>6022</v>
      </c>
      <c r="M19" t="s">
        <v>52</v>
      </c>
      <c r="N19" s="2">
        <f ca="1">K19*12</f>
        <v>0</v>
      </c>
      <c r="O19">
        <f ca="1">DATEDIF(TODAY(),F19,"M")</f>
        <v>0</v>
      </c>
      <c r="P19">
        <v>0.8</v>
      </c>
      <c r="Q19" t="s">
        <v>57</v>
      </c>
    </row>
    <row r="20" spans="1:17">
      <c r="A20">
        <v>19</v>
      </c>
      <c r="B20" t="s">
        <v>96</v>
      </c>
      <c r="C20" t="s">
        <v>97</v>
      </c>
      <c r="D20" t="s">
        <v>63</v>
      </c>
      <c r="E20" s="4">
        <v>45292</v>
      </c>
      <c r="F20" s="4">
        <v>47118</v>
      </c>
      <c r="G20">
        <v>36</v>
      </c>
      <c r="H20">
        <v>3026</v>
      </c>
      <c r="I20" s="2">
        <v>4722</v>
      </c>
      <c r="J20" s="2">
        <v>256</v>
      </c>
      <c r="K20" s="2">
        <f ca="1">IF(M20="Occupied",I20+J20,0)</f>
        <v>0</v>
      </c>
      <c r="L20" s="2">
        <v>9444</v>
      </c>
      <c r="M20" t="s">
        <v>52</v>
      </c>
      <c r="N20" s="2">
        <f ca="1">K20*12</f>
        <v>0</v>
      </c>
      <c r="O20">
        <f ca="1">DATEDIF(TODAY(),F20,"M")</f>
        <v>0</v>
      </c>
      <c r="P20">
        <v>0.7</v>
      </c>
      <c r="Q20" t="s">
        <v>60</v>
      </c>
    </row>
    <row r="21" spans="1:17">
      <c r="A21">
        <v>20</v>
      </c>
      <c r="B21" t="s">
        <v>98</v>
      </c>
      <c r="C21" t="s">
        <v>99</v>
      </c>
      <c r="D21" t="s">
        <v>76</v>
      </c>
      <c r="E21" s="4">
        <v>45292</v>
      </c>
      <c r="F21" s="4">
        <v>47118</v>
      </c>
      <c r="G21">
        <v>36</v>
      </c>
      <c r="H21">
        <v>2524</v>
      </c>
      <c r="I21" s="2">
        <v>4899</v>
      </c>
      <c r="J21" s="2">
        <v>215</v>
      </c>
      <c r="K21" s="2">
        <f ca="1">IF(M21="Occupied",I21+J21,0)</f>
        <v>0</v>
      </c>
      <c r="L21" s="2">
        <v>8600</v>
      </c>
      <c r="M21" t="s">
        <v>68</v>
      </c>
      <c r="N21" s="2">
        <f ca="1">K21*12</f>
        <v>0</v>
      </c>
      <c r="O21">
        <f ca="1">DATEDIF(TODAY(),F21,"M")</f>
        <v>0</v>
      </c>
      <c r="P21">
        <v>0.8</v>
      </c>
      <c r="Q21" t="s">
        <v>53</v>
      </c>
    </row>
    <row r="22" spans="1:17">
      <c r="A22">
        <v>21</v>
      </c>
      <c r="B22" t="s">
        <v>100</v>
      </c>
      <c r="C22" t="s">
        <v>101</v>
      </c>
      <c r="D22" t="s">
        <v>63</v>
      </c>
      <c r="E22" s="4">
        <v>45292</v>
      </c>
      <c r="F22" s="4">
        <v>47118</v>
      </c>
      <c r="G22">
        <v>60</v>
      </c>
      <c r="H22">
        <v>3107</v>
      </c>
      <c r="I22" s="2">
        <v>5151</v>
      </c>
      <c r="J22" s="2">
        <v>428</v>
      </c>
      <c r="K22" s="2">
        <f ca="1">IF(M22="Occupied",I22+J22,0)</f>
        <v>0</v>
      </c>
      <c r="L22" s="2">
        <v>10302</v>
      </c>
      <c r="M22" t="s">
        <v>52</v>
      </c>
      <c r="N22" s="2">
        <f ca="1">K22*12</f>
        <v>0</v>
      </c>
      <c r="O22">
        <f ca="1">DATEDIF(TODAY(),F22,"M")</f>
        <v>0</v>
      </c>
      <c r="P22">
        <v>0.8</v>
      </c>
      <c r="Q22" t="s">
        <v>60</v>
      </c>
    </row>
    <row r="23" spans="1:17">
      <c r="A23">
        <v>22</v>
      </c>
      <c r="B23" t="s">
        <v>102</v>
      </c>
      <c r="C23" t="s">
        <v>103</v>
      </c>
      <c r="D23" t="s">
        <v>85</v>
      </c>
      <c r="E23" s="4">
        <v>45292</v>
      </c>
      <c r="F23" s="4">
        <v>47118</v>
      </c>
      <c r="G23">
        <v>24</v>
      </c>
      <c r="H23">
        <v>1261</v>
      </c>
      <c r="I23" s="2">
        <v>5618</v>
      </c>
      <c r="J23" s="2">
        <v>551</v>
      </c>
      <c r="K23" s="2">
        <f ca="1">IF(M23="Occupied",I23+J23,0)</f>
        <v>0</v>
      </c>
      <c r="L23" s="2">
        <v>11236</v>
      </c>
      <c r="M23" t="s">
        <v>52</v>
      </c>
      <c r="N23" s="2">
        <f ca="1">K23*12</f>
        <v>0</v>
      </c>
      <c r="O23">
        <f ca="1">DATEDIF(TODAY(),F23,"M")</f>
        <v>0</v>
      </c>
      <c r="P23">
        <v>0.8</v>
      </c>
      <c r="Q23" t="s">
        <v>60</v>
      </c>
    </row>
    <row r="24" spans="1:17">
      <c r="A24">
        <v>23</v>
      </c>
      <c r="B24" t="s">
        <v>104</v>
      </c>
      <c r="C24" t="s">
        <v>105</v>
      </c>
      <c r="D24" t="s">
        <v>56</v>
      </c>
      <c r="E24" s="4">
        <v>45292</v>
      </c>
      <c r="F24" s="4">
        <v>47118</v>
      </c>
      <c r="G24">
        <v>60</v>
      </c>
      <c r="H24">
        <v>1268</v>
      </c>
      <c r="I24" s="2">
        <v>5465</v>
      </c>
      <c r="J24" s="2">
        <v>688</v>
      </c>
      <c r="K24" s="2">
        <f ca="1">IF(M24="Occupied",I24+J24,0)</f>
        <v>0</v>
      </c>
      <c r="L24" s="2">
        <v>10930</v>
      </c>
      <c r="M24" t="s">
        <v>52</v>
      </c>
      <c r="N24" s="2">
        <f ca="1">K24*12</f>
        <v>0</v>
      </c>
      <c r="O24">
        <f ca="1">DATEDIF(TODAY(),F24,"M")</f>
        <v>0</v>
      </c>
      <c r="P24">
        <v>0.8</v>
      </c>
      <c r="Q24" t="s">
        <v>60</v>
      </c>
    </row>
    <row r="25" spans="1:17">
      <c r="A25">
        <v>24</v>
      </c>
      <c r="B25" t="s">
        <v>106</v>
      </c>
      <c r="C25" t="s">
        <v>107</v>
      </c>
      <c r="D25" t="s">
        <v>51</v>
      </c>
      <c r="E25" s="4">
        <v>45292</v>
      </c>
      <c r="F25" s="4">
        <v>47118</v>
      </c>
      <c r="G25">
        <v>24</v>
      </c>
      <c r="H25">
        <v>2559</v>
      </c>
      <c r="I25" s="2">
        <v>2678</v>
      </c>
      <c r="J25" s="2">
        <v>607</v>
      </c>
      <c r="K25" s="2">
        <f ca="1">IF(M25="Occupied",I25+J25,0)</f>
        <v>0</v>
      </c>
      <c r="L25" s="2">
        <v>5356</v>
      </c>
      <c r="M25" t="s">
        <v>52</v>
      </c>
      <c r="N25" s="2">
        <f ca="1">K25*12</f>
        <v>0</v>
      </c>
      <c r="O25">
        <f ca="1">DATEDIF(TODAY(),F25,"M")</f>
        <v>0</v>
      </c>
      <c r="P25">
        <v>0.6</v>
      </c>
      <c r="Q25" t="s">
        <v>57</v>
      </c>
    </row>
    <row r="26" spans="1:17">
      <c r="A26">
        <v>25</v>
      </c>
      <c r="B26" t="s">
        <v>108</v>
      </c>
      <c r="C26" t="s">
        <v>109</v>
      </c>
      <c r="D26" t="s">
        <v>85</v>
      </c>
      <c r="E26" s="4">
        <v>45292</v>
      </c>
      <c r="F26" s="4">
        <v>47118</v>
      </c>
      <c r="G26">
        <v>36</v>
      </c>
      <c r="H26">
        <v>1017</v>
      </c>
      <c r="I26" s="2">
        <v>5719</v>
      </c>
      <c r="J26" s="2">
        <v>591</v>
      </c>
      <c r="K26" s="2">
        <f ca="1">IF(M26="Occupied",I26+J26,0)</f>
        <v>0</v>
      </c>
      <c r="L26" s="2">
        <v>11438</v>
      </c>
      <c r="M26" t="s">
        <v>52</v>
      </c>
      <c r="N26" s="2">
        <f ca="1">K26*12</f>
        <v>0</v>
      </c>
      <c r="O26">
        <f ca="1">DATEDIF(TODAY(),F26,"M")</f>
        <v>0</v>
      </c>
      <c r="P26">
        <v>0.9</v>
      </c>
      <c r="Q26" t="s">
        <v>53</v>
      </c>
    </row>
    <row r="27" spans="1:17">
      <c r="A27">
        <v>26</v>
      </c>
      <c r="B27" t="s">
        <v>110</v>
      </c>
      <c r="C27" t="s">
        <v>111</v>
      </c>
      <c r="D27" t="s">
        <v>56</v>
      </c>
      <c r="E27" s="4">
        <v>45292</v>
      </c>
      <c r="F27" s="4">
        <v>47118</v>
      </c>
      <c r="G27">
        <v>48</v>
      </c>
      <c r="H27">
        <v>3351</v>
      </c>
      <c r="I27" s="2">
        <v>1964</v>
      </c>
      <c r="J27" s="2">
        <v>571</v>
      </c>
      <c r="K27" s="2">
        <f ca="1">IF(M27="Occupied",I27+J27,0)</f>
        <v>0</v>
      </c>
      <c r="L27" s="2">
        <v>3928</v>
      </c>
      <c r="M27" t="s">
        <v>52</v>
      </c>
      <c r="N27" s="2">
        <f ca="1">K27*12</f>
        <v>0</v>
      </c>
      <c r="O27">
        <f ca="1">DATEDIF(TODAY(),F27,"M")</f>
        <v>0</v>
      </c>
      <c r="P27">
        <v>0.7</v>
      </c>
      <c r="Q27" t="s">
        <v>27</v>
      </c>
    </row>
    <row r="28" spans="1:17">
      <c r="A28">
        <v>27</v>
      </c>
      <c r="B28" t="s">
        <v>112</v>
      </c>
      <c r="C28" t="s">
        <v>113</v>
      </c>
      <c r="D28" t="s">
        <v>85</v>
      </c>
      <c r="E28" s="4">
        <v>45292</v>
      </c>
      <c r="F28" s="4">
        <v>47118</v>
      </c>
      <c r="G28">
        <v>24</v>
      </c>
      <c r="H28">
        <v>2306</v>
      </c>
      <c r="I28" s="2">
        <v>5215</v>
      </c>
      <c r="J28" s="2">
        <v>269</v>
      </c>
      <c r="K28" s="2">
        <f ca="1">IF(M28="Occupied",I28+J28,0)</f>
        <v>0</v>
      </c>
      <c r="L28" s="2">
        <v>8125</v>
      </c>
      <c r="M28" t="s">
        <v>68</v>
      </c>
      <c r="N28" s="2">
        <f ca="1">K28*12</f>
        <v>0</v>
      </c>
      <c r="O28">
        <f ca="1">DATEDIF(TODAY(),F28,"M")</f>
        <v>0</v>
      </c>
      <c r="P28">
        <v>0.7</v>
      </c>
      <c r="Q28" t="s">
        <v>53</v>
      </c>
    </row>
    <row r="29" spans="1:17">
      <c r="A29">
        <v>28</v>
      </c>
      <c r="B29" t="s">
        <v>114</v>
      </c>
      <c r="C29" t="s">
        <v>115</v>
      </c>
      <c r="D29" t="s">
        <v>76</v>
      </c>
      <c r="E29" s="4">
        <v>45292</v>
      </c>
      <c r="F29" s="4">
        <v>47118</v>
      </c>
      <c r="G29">
        <v>48</v>
      </c>
      <c r="H29">
        <v>2895</v>
      </c>
      <c r="I29" s="2">
        <v>2248</v>
      </c>
      <c r="J29" s="2">
        <v>708</v>
      </c>
      <c r="K29" s="2">
        <f ca="1">IF(M29="Occupied",I29+J29,0)</f>
        <v>0</v>
      </c>
      <c r="L29" s="2">
        <v>4496</v>
      </c>
      <c r="M29" t="s">
        <v>52</v>
      </c>
      <c r="N29" s="2">
        <f ca="1">K29*12</f>
        <v>0</v>
      </c>
      <c r="O29">
        <f ca="1">DATEDIF(TODAY(),F29,"M")</f>
        <v>0</v>
      </c>
      <c r="P29">
        <v>0.7</v>
      </c>
      <c r="Q29" t="s">
        <v>60</v>
      </c>
    </row>
    <row r="30" spans="1:17">
      <c r="A30">
        <v>29</v>
      </c>
      <c r="B30" t="s">
        <v>116</v>
      </c>
      <c r="C30" t="s">
        <v>117</v>
      </c>
      <c r="D30" t="s">
        <v>63</v>
      </c>
      <c r="E30" s="4">
        <v>45292</v>
      </c>
      <c r="F30" s="4">
        <v>47118</v>
      </c>
      <c r="G30">
        <v>36</v>
      </c>
      <c r="H30">
        <v>1664</v>
      </c>
      <c r="I30" s="2">
        <v>2946</v>
      </c>
      <c r="J30" s="2">
        <v>219</v>
      </c>
      <c r="K30" s="2">
        <f ca="1">IF(M30="Occupied",I30+J30,0)</f>
        <v>0</v>
      </c>
      <c r="L30" s="2">
        <v>5892</v>
      </c>
      <c r="M30" t="s">
        <v>52</v>
      </c>
      <c r="N30" s="2">
        <f ca="1">K30*12</f>
        <v>0</v>
      </c>
      <c r="O30">
        <f ca="1">DATEDIF(TODAY(),F30,"M")</f>
        <v>0</v>
      </c>
      <c r="P30">
        <v>0.6</v>
      </c>
      <c r="Q30" t="s">
        <v>60</v>
      </c>
    </row>
    <row r="31" spans="1:17">
      <c r="A31">
        <v>30</v>
      </c>
      <c r="B31" t="s">
        <v>118</v>
      </c>
      <c r="C31" t="s">
        <v>119</v>
      </c>
      <c r="D31" t="s">
        <v>56</v>
      </c>
      <c r="E31" s="4">
        <v>45292</v>
      </c>
      <c r="F31" s="4">
        <v>47118</v>
      </c>
      <c r="G31">
        <v>36</v>
      </c>
      <c r="H31">
        <v>2127</v>
      </c>
      <c r="I31" s="2">
        <v>5614</v>
      </c>
      <c r="J31" s="2">
        <v>584</v>
      </c>
      <c r="K31" s="2">
        <f ca="1">IF(M31="Occupied",I31+J31,0)</f>
        <v>0</v>
      </c>
      <c r="L31" s="2">
        <v>11228</v>
      </c>
      <c r="M31" t="s">
        <v>52</v>
      </c>
      <c r="N31" s="2">
        <f ca="1">K31*12</f>
        <v>0</v>
      </c>
      <c r="O31">
        <f ca="1">DATEDIF(TODAY(),F31,"M")</f>
        <v>0</v>
      </c>
      <c r="P31">
        <v>0.7</v>
      </c>
      <c r="Q31" t="s">
        <v>60</v>
      </c>
    </row>
    <row r="32" spans="1:17">
      <c r="A32">
        <v>31</v>
      </c>
      <c r="B32" t="s">
        <v>120</v>
      </c>
      <c r="C32" t="s">
        <v>121</v>
      </c>
      <c r="D32" t="s">
        <v>51</v>
      </c>
      <c r="E32" s="4">
        <v>45292</v>
      </c>
      <c r="F32" s="4">
        <v>47118</v>
      </c>
      <c r="G32">
        <v>60</v>
      </c>
      <c r="H32">
        <v>3043</v>
      </c>
      <c r="I32" s="2">
        <v>2409</v>
      </c>
      <c r="J32" s="2">
        <v>711</v>
      </c>
      <c r="K32" s="2">
        <f ca="1">IF(M32="Occupied",I32+J32,0)</f>
        <v>0</v>
      </c>
      <c r="L32" s="2">
        <v>4818</v>
      </c>
      <c r="M32" t="s">
        <v>52</v>
      </c>
      <c r="N32" s="2">
        <f ca="1">K32*12</f>
        <v>0</v>
      </c>
      <c r="O32">
        <f ca="1">DATEDIF(TODAY(),F32,"M")</f>
        <v>0</v>
      </c>
      <c r="P32">
        <v>0.8</v>
      </c>
      <c r="Q32" t="s">
        <v>53</v>
      </c>
    </row>
    <row r="33" spans="1:17">
      <c r="A33">
        <v>32</v>
      </c>
      <c r="B33" t="s">
        <v>122</v>
      </c>
      <c r="C33" t="s">
        <v>123</v>
      </c>
      <c r="D33" t="s">
        <v>73</v>
      </c>
      <c r="E33" s="4">
        <v>45292</v>
      </c>
      <c r="F33" s="4">
        <v>47118</v>
      </c>
      <c r="G33">
        <v>24</v>
      </c>
      <c r="H33">
        <v>804</v>
      </c>
      <c r="I33" s="2">
        <v>3992</v>
      </c>
      <c r="J33" s="2">
        <v>226</v>
      </c>
      <c r="K33" s="2">
        <f ca="1">IF(M33="Occupied",I33+J33,0)</f>
        <v>0</v>
      </c>
      <c r="L33" s="2">
        <v>7984</v>
      </c>
      <c r="M33" t="s">
        <v>52</v>
      </c>
      <c r="N33" s="2">
        <f ca="1">K33*12</f>
        <v>0</v>
      </c>
      <c r="O33">
        <f ca="1">DATEDIF(TODAY(),F33,"M")</f>
        <v>0</v>
      </c>
      <c r="P33">
        <v>0.6</v>
      </c>
      <c r="Q33" t="s">
        <v>57</v>
      </c>
    </row>
    <row r="34" spans="1:17">
      <c r="A34">
        <v>33</v>
      </c>
      <c r="B34" t="s">
        <v>124</v>
      </c>
      <c r="C34" t="s">
        <v>125</v>
      </c>
      <c r="D34" t="s">
        <v>51</v>
      </c>
      <c r="E34" s="4">
        <v>45292</v>
      </c>
      <c r="F34" s="4">
        <v>47118</v>
      </c>
      <c r="G34">
        <v>24</v>
      </c>
      <c r="H34">
        <v>886</v>
      </c>
      <c r="I34" s="2">
        <v>5631</v>
      </c>
      <c r="J34" s="2">
        <v>579</v>
      </c>
      <c r="K34" s="2">
        <f ca="1">IF(M34="Occupied",I34+J34,0)</f>
        <v>0</v>
      </c>
      <c r="L34" s="2">
        <v>11262</v>
      </c>
      <c r="M34" t="s">
        <v>52</v>
      </c>
      <c r="N34" s="2">
        <f ca="1">K34*12</f>
        <v>0</v>
      </c>
      <c r="O34">
        <f ca="1">DATEDIF(TODAY(),F34,"M")</f>
        <v>0</v>
      </c>
      <c r="P34">
        <v>0.8</v>
      </c>
      <c r="Q34" t="s">
        <v>60</v>
      </c>
    </row>
    <row r="35" spans="1:17">
      <c r="A35">
        <v>34</v>
      </c>
      <c r="B35" t="s">
        <v>126</v>
      </c>
      <c r="C35" t="s">
        <v>127</v>
      </c>
      <c r="D35" t="s">
        <v>73</v>
      </c>
      <c r="E35" s="4">
        <v>45292</v>
      </c>
      <c r="F35" s="4">
        <v>47118</v>
      </c>
      <c r="G35">
        <v>60</v>
      </c>
      <c r="H35">
        <v>2111</v>
      </c>
      <c r="I35" s="2">
        <v>4999</v>
      </c>
      <c r="J35" s="2">
        <v>299</v>
      </c>
      <c r="K35" s="2">
        <f ca="1">IF(M35="Occupied",I35+J35,0)</f>
        <v>0</v>
      </c>
      <c r="L35" s="2">
        <v>7599</v>
      </c>
      <c r="M35" t="s">
        <v>68</v>
      </c>
      <c r="N35" s="2">
        <f ca="1">K35*12</f>
        <v>0</v>
      </c>
      <c r="O35">
        <f ca="1">DATEDIF(TODAY(),F35,"M")</f>
        <v>0</v>
      </c>
      <c r="P35">
        <v>0.7</v>
      </c>
      <c r="Q35" t="s">
        <v>53</v>
      </c>
    </row>
    <row r="36" spans="1:17">
      <c r="A36">
        <v>35</v>
      </c>
      <c r="B36" t="s">
        <v>128</v>
      </c>
      <c r="C36" t="s">
        <v>129</v>
      </c>
      <c r="D36" t="s">
        <v>51</v>
      </c>
      <c r="E36" s="4">
        <v>45292</v>
      </c>
      <c r="F36" s="4">
        <v>47118</v>
      </c>
      <c r="G36">
        <v>24</v>
      </c>
      <c r="H36">
        <v>1222</v>
      </c>
      <c r="I36" s="2">
        <v>3236</v>
      </c>
      <c r="J36" s="2">
        <v>241</v>
      </c>
      <c r="K36" s="2">
        <f ca="1">IF(M36="Occupied",I36+J36,0)</f>
        <v>0</v>
      </c>
      <c r="L36" s="2">
        <v>6472</v>
      </c>
      <c r="M36" t="s">
        <v>52</v>
      </c>
      <c r="N36" s="2">
        <f ca="1">K36*12</f>
        <v>0</v>
      </c>
      <c r="O36">
        <f ca="1">DATEDIF(TODAY(),F36,"M")</f>
        <v>0</v>
      </c>
      <c r="P36">
        <v>0.6</v>
      </c>
      <c r="Q36" t="s">
        <v>57</v>
      </c>
    </row>
    <row r="37" spans="1:17">
      <c r="A37">
        <v>36</v>
      </c>
      <c r="B37" t="s">
        <v>130</v>
      </c>
      <c r="C37" t="s">
        <v>131</v>
      </c>
      <c r="D37" t="s">
        <v>85</v>
      </c>
      <c r="E37" s="4">
        <v>45292</v>
      </c>
      <c r="F37" s="4">
        <v>47118</v>
      </c>
      <c r="G37">
        <v>48</v>
      </c>
      <c r="H37">
        <v>2411</v>
      </c>
      <c r="I37" s="2">
        <v>3781</v>
      </c>
      <c r="J37" s="2">
        <v>784</v>
      </c>
      <c r="K37" s="2">
        <f ca="1">IF(M37="Occupied",I37+J37,0)</f>
        <v>0</v>
      </c>
      <c r="L37" s="2">
        <v>7562</v>
      </c>
      <c r="M37" t="s">
        <v>52</v>
      </c>
      <c r="N37" s="2">
        <f ca="1">K37*12</f>
        <v>0</v>
      </c>
      <c r="O37">
        <f ca="1">DATEDIF(TODAY(),F37,"M")</f>
        <v>0</v>
      </c>
      <c r="P37">
        <v>0.7</v>
      </c>
      <c r="Q37" t="s">
        <v>60</v>
      </c>
    </row>
    <row r="38" spans="1:17">
      <c r="A38">
        <v>37</v>
      </c>
      <c r="B38" t="s">
        <v>132</v>
      </c>
      <c r="C38" t="s">
        <v>133</v>
      </c>
      <c r="D38" t="s">
        <v>73</v>
      </c>
      <c r="E38" s="4">
        <v>45292</v>
      </c>
      <c r="F38" s="4">
        <v>47118</v>
      </c>
      <c r="G38">
        <v>60</v>
      </c>
      <c r="H38">
        <v>1213</v>
      </c>
      <c r="I38" s="2">
        <v>3249</v>
      </c>
      <c r="J38" s="2">
        <v>554</v>
      </c>
      <c r="K38" s="2">
        <f ca="1">IF(M38="Occupied",I38+J38,0)</f>
        <v>0</v>
      </c>
      <c r="L38" s="2">
        <v>6498</v>
      </c>
      <c r="M38" t="s">
        <v>52</v>
      </c>
      <c r="N38" s="2">
        <f ca="1">K38*12</f>
        <v>0</v>
      </c>
      <c r="O38">
        <f ca="1">DATEDIF(TODAY(),F38,"M")</f>
        <v>0</v>
      </c>
      <c r="P38">
        <v>0.6</v>
      </c>
      <c r="Q38" t="s">
        <v>60</v>
      </c>
    </row>
    <row r="39" spans="1:17">
      <c r="A39">
        <v>38</v>
      </c>
      <c r="B39" t="s">
        <v>134</v>
      </c>
      <c r="C39" t="s">
        <v>135</v>
      </c>
      <c r="D39" t="s">
        <v>56</v>
      </c>
      <c r="E39" s="4">
        <v>45292</v>
      </c>
      <c r="F39" s="4">
        <v>47118</v>
      </c>
      <c r="G39">
        <v>48</v>
      </c>
      <c r="H39">
        <v>1416</v>
      </c>
      <c r="I39" s="2">
        <v>4355</v>
      </c>
      <c r="J39" s="2">
        <v>104</v>
      </c>
      <c r="K39" s="2">
        <f ca="1">IF(M39="Occupied",I39+J39,0)</f>
        <v>0</v>
      </c>
      <c r="L39" s="2">
        <v>8710</v>
      </c>
      <c r="M39" t="s">
        <v>52</v>
      </c>
      <c r="N39" s="2">
        <f ca="1">K39*12</f>
        <v>0</v>
      </c>
      <c r="O39">
        <f ca="1">DATEDIF(TODAY(),F39,"M")</f>
        <v>0</v>
      </c>
      <c r="P39">
        <v>0.7</v>
      </c>
      <c r="Q39" t="s">
        <v>57</v>
      </c>
    </row>
    <row r="40" spans="1:17">
      <c r="A40">
        <v>39</v>
      </c>
      <c r="B40" t="s">
        <v>136</v>
      </c>
      <c r="C40" t="s">
        <v>137</v>
      </c>
      <c r="D40" t="s">
        <v>73</v>
      </c>
      <c r="E40" s="4">
        <v>45292</v>
      </c>
      <c r="F40" s="4">
        <v>47118</v>
      </c>
      <c r="G40">
        <v>24</v>
      </c>
      <c r="H40">
        <v>1716</v>
      </c>
      <c r="I40" s="2">
        <v>3745</v>
      </c>
      <c r="J40" s="2">
        <v>368</v>
      </c>
      <c r="K40" s="2">
        <f ca="1">IF(M40="Occupied",I40+J40,0)</f>
        <v>0</v>
      </c>
      <c r="L40" s="2">
        <v>7490</v>
      </c>
      <c r="M40" t="s">
        <v>52</v>
      </c>
      <c r="N40" s="2">
        <f ca="1">K40*12</f>
        <v>0</v>
      </c>
      <c r="O40">
        <f ca="1">DATEDIF(TODAY(),F40,"M")</f>
        <v>0</v>
      </c>
      <c r="P40">
        <v>0.6</v>
      </c>
      <c r="Q40" t="s">
        <v>27</v>
      </c>
    </row>
    <row r="41" spans="1:17">
      <c r="A41">
        <v>40</v>
      </c>
      <c r="B41" t="s">
        <v>138</v>
      </c>
      <c r="C41" t="s">
        <v>139</v>
      </c>
      <c r="D41" t="s">
        <v>51</v>
      </c>
      <c r="E41" s="4">
        <v>45292</v>
      </c>
      <c r="F41" s="4">
        <v>47118</v>
      </c>
      <c r="G41">
        <v>36</v>
      </c>
      <c r="H41">
        <v>3042</v>
      </c>
      <c r="I41" s="2">
        <v>2928</v>
      </c>
      <c r="J41" s="2">
        <v>756</v>
      </c>
      <c r="K41" s="2">
        <f ca="1">IF(M41="Occupied",I41+J41,0)</f>
        <v>0</v>
      </c>
      <c r="L41" s="2">
        <v>5856</v>
      </c>
      <c r="M41" t="s">
        <v>52</v>
      </c>
      <c r="N41" s="2">
        <f ca="1">K41*12</f>
        <v>0</v>
      </c>
      <c r="O41">
        <f ca="1">DATEDIF(TODAY(),F41,"M")</f>
        <v>0</v>
      </c>
      <c r="P41">
        <v>0.6</v>
      </c>
      <c r="Q41" t="s">
        <v>60</v>
      </c>
    </row>
    <row r="42" spans="1:17">
      <c r="A42">
        <v>41</v>
      </c>
      <c r="B42" t="s">
        <v>140</v>
      </c>
      <c r="C42" t="s">
        <v>141</v>
      </c>
      <c r="D42" t="s">
        <v>73</v>
      </c>
      <c r="E42" s="4">
        <v>45292</v>
      </c>
      <c r="F42" s="4">
        <v>47118</v>
      </c>
      <c r="G42">
        <v>48</v>
      </c>
      <c r="H42">
        <v>2807</v>
      </c>
      <c r="I42" s="2">
        <v>5988</v>
      </c>
      <c r="J42" s="2">
        <v>266</v>
      </c>
      <c r="K42" s="2">
        <f ca="1">IF(M42="Occupied",I42+J42,0)</f>
        <v>0</v>
      </c>
      <c r="L42" s="2">
        <v>8122</v>
      </c>
      <c r="M42" t="s">
        <v>68</v>
      </c>
      <c r="N42" s="2">
        <f ca="1">K42*12</f>
        <v>0</v>
      </c>
      <c r="O42">
        <f ca="1">DATEDIF(TODAY(),F42,"M")</f>
        <v>0</v>
      </c>
      <c r="P42">
        <v>0.6</v>
      </c>
      <c r="Q42" t="s">
        <v>57</v>
      </c>
    </row>
    <row r="43" spans="1:17">
      <c r="A43">
        <v>42</v>
      </c>
      <c r="B43" t="s">
        <v>142</v>
      </c>
      <c r="C43" t="s">
        <v>143</v>
      </c>
      <c r="D43" t="s">
        <v>85</v>
      </c>
      <c r="E43" s="4">
        <v>45292</v>
      </c>
      <c r="F43" s="4">
        <v>47118</v>
      </c>
      <c r="G43">
        <v>48</v>
      </c>
      <c r="H43">
        <v>1856</v>
      </c>
      <c r="I43" s="2">
        <v>2347</v>
      </c>
      <c r="J43" s="2">
        <v>654</v>
      </c>
      <c r="K43" s="2">
        <f ca="1">IF(M43="Occupied",I43+J43,0)</f>
        <v>0</v>
      </c>
      <c r="L43" s="2">
        <v>4694</v>
      </c>
      <c r="M43" t="s">
        <v>52</v>
      </c>
      <c r="N43" s="2">
        <f ca="1">K43*12</f>
        <v>0</v>
      </c>
      <c r="O43">
        <f ca="1">DATEDIF(TODAY(),F43,"M")</f>
        <v>0</v>
      </c>
      <c r="P43">
        <v>0.7</v>
      </c>
      <c r="Q43" t="s">
        <v>53</v>
      </c>
    </row>
    <row r="44" spans="1:17">
      <c r="A44">
        <v>43</v>
      </c>
      <c r="B44" t="s">
        <v>144</v>
      </c>
      <c r="C44" t="s">
        <v>145</v>
      </c>
      <c r="D44" t="s">
        <v>56</v>
      </c>
      <c r="E44" s="4">
        <v>45292</v>
      </c>
      <c r="F44" s="4">
        <v>47118</v>
      </c>
      <c r="G44">
        <v>24</v>
      </c>
      <c r="H44">
        <v>1118</v>
      </c>
      <c r="I44" s="2">
        <v>5404</v>
      </c>
      <c r="J44" s="2">
        <v>720</v>
      </c>
      <c r="K44" s="2">
        <f ca="1">IF(M44="Occupied",I44+J44,0)</f>
        <v>0</v>
      </c>
      <c r="L44" s="2">
        <v>10808</v>
      </c>
      <c r="M44" t="s">
        <v>52</v>
      </c>
      <c r="N44" s="2">
        <f ca="1">K44*12</f>
        <v>0</v>
      </c>
      <c r="O44">
        <f ca="1">DATEDIF(TODAY(),F44,"M")</f>
        <v>0</v>
      </c>
      <c r="P44">
        <v>0.9</v>
      </c>
      <c r="Q44" t="s">
        <v>27</v>
      </c>
    </row>
    <row r="45" spans="1:17">
      <c r="A45">
        <v>44</v>
      </c>
      <c r="B45" t="s">
        <v>146</v>
      </c>
      <c r="C45" t="s">
        <v>147</v>
      </c>
      <c r="D45" t="s">
        <v>56</v>
      </c>
      <c r="E45" s="4">
        <v>45292</v>
      </c>
      <c r="F45" s="4">
        <v>47118</v>
      </c>
      <c r="G45">
        <v>36</v>
      </c>
      <c r="H45">
        <v>2542</v>
      </c>
      <c r="I45" s="2">
        <v>2244</v>
      </c>
      <c r="J45" s="2">
        <v>252</v>
      </c>
      <c r="K45" s="2">
        <f ca="1">IF(M45="Occupied",I45+J45,0)</f>
        <v>0</v>
      </c>
      <c r="L45" s="2">
        <v>4488</v>
      </c>
      <c r="M45" t="s">
        <v>52</v>
      </c>
      <c r="N45" s="2">
        <f ca="1">K45*12</f>
        <v>0</v>
      </c>
      <c r="O45">
        <f ca="1">DATEDIF(TODAY(),F45,"M")</f>
        <v>0</v>
      </c>
      <c r="P45">
        <v>0.6</v>
      </c>
      <c r="Q45" t="s">
        <v>57</v>
      </c>
    </row>
    <row r="46" spans="1:17">
      <c r="A46">
        <v>45</v>
      </c>
      <c r="B46" t="s">
        <v>148</v>
      </c>
      <c r="C46" t="s">
        <v>149</v>
      </c>
      <c r="D46" t="s">
        <v>73</v>
      </c>
      <c r="E46" s="4">
        <v>45292</v>
      </c>
      <c r="F46" s="4">
        <v>47118</v>
      </c>
      <c r="G46">
        <v>24</v>
      </c>
      <c r="H46">
        <v>887</v>
      </c>
      <c r="I46" s="2">
        <v>5607</v>
      </c>
      <c r="J46" s="2">
        <v>546</v>
      </c>
      <c r="K46" s="2">
        <f ca="1">IF(M46="Occupied",I46+J46,0)</f>
        <v>0</v>
      </c>
      <c r="L46" s="2">
        <v>11214</v>
      </c>
      <c r="M46" t="s">
        <v>52</v>
      </c>
      <c r="N46" s="2">
        <f ca="1">K46*12</f>
        <v>0</v>
      </c>
      <c r="O46">
        <f ca="1">DATEDIF(TODAY(),F46,"M")</f>
        <v>0</v>
      </c>
      <c r="P46">
        <v>0.6</v>
      </c>
      <c r="Q46" t="s">
        <v>53</v>
      </c>
    </row>
    <row r="47" spans="1:17">
      <c r="A47">
        <v>46</v>
      </c>
      <c r="B47" t="s">
        <v>150</v>
      </c>
      <c r="C47" t="s">
        <v>151</v>
      </c>
      <c r="D47" t="s">
        <v>51</v>
      </c>
      <c r="E47" s="4">
        <v>45292</v>
      </c>
      <c r="F47" s="4">
        <v>47118</v>
      </c>
      <c r="G47">
        <v>48</v>
      </c>
      <c r="H47">
        <v>3203</v>
      </c>
      <c r="I47" s="2">
        <v>5340</v>
      </c>
      <c r="J47" s="2">
        <v>437</v>
      </c>
      <c r="K47" s="2">
        <f ca="1">IF(M47="Occupied",I47+J47,0)</f>
        <v>0</v>
      </c>
      <c r="L47" s="2">
        <v>10680</v>
      </c>
      <c r="M47" t="s">
        <v>52</v>
      </c>
      <c r="N47" s="2">
        <f ca="1">K47*12</f>
        <v>0</v>
      </c>
      <c r="O47">
        <f ca="1">DATEDIF(TODAY(),F47,"M")</f>
        <v>0</v>
      </c>
      <c r="P47">
        <v>0.6</v>
      </c>
      <c r="Q47" t="s">
        <v>53</v>
      </c>
    </row>
    <row r="48" spans="1:17">
      <c r="A48">
        <v>47</v>
      </c>
      <c r="B48" t="s">
        <v>152</v>
      </c>
      <c r="C48" t="s">
        <v>153</v>
      </c>
      <c r="D48" t="s">
        <v>76</v>
      </c>
      <c r="E48" s="4">
        <v>45292</v>
      </c>
      <c r="F48" s="4">
        <v>47118</v>
      </c>
      <c r="G48">
        <v>48</v>
      </c>
      <c r="H48">
        <v>2490</v>
      </c>
      <c r="I48" s="2">
        <v>4870</v>
      </c>
      <c r="J48" s="2">
        <v>437</v>
      </c>
      <c r="K48" s="2">
        <f ca="1">IF(M48="Occupied",I48+J48,0)</f>
        <v>0</v>
      </c>
      <c r="L48" s="2">
        <v>9740</v>
      </c>
      <c r="M48" t="s">
        <v>52</v>
      </c>
      <c r="N48" s="2">
        <f ca="1">K48*12</f>
        <v>0</v>
      </c>
      <c r="O48">
        <f ca="1">DATEDIF(TODAY(),F48,"M")</f>
        <v>0</v>
      </c>
      <c r="P48">
        <v>0.7</v>
      </c>
      <c r="Q48" t="s">
        <v>60</v>
      </c>
    </row>
    <row r="49" spans="1:17">
      <c r="A49">
        <v>48</v>
      </c>
      <c r="B49" t="s">
        <v>154</v>
      </c>
      <c r="C49" t="s">
        <v>155</v>
      </c>
      <c r="D49" t="s">
        <v>85</v>
      </c>
      <c r="E49" s="4">
        <v>45292</v>
      </c>
      <c r="F49" s="4">
        <v>47118</v>
      </c>
      <c r="G49">
        <v>36</v>
      </c>
      <c r="H49">
        <v>2883</v>
      </c>
      <c r="I49" s="2">
        <v>4988</v>
      </c>
      <c r="J49" s="2">
        <v>275</v>
      </c>
      <c r="K49" s="2">
        <f ca="1">IF(M49="Occupied",I49+J49,0)</f>
        <v>0</v>
      </c>
      <c r="L49" s="2">
        <v>7899</v>
      </c>
      <c r="M49" t="s">
        <v>68</v>
      </c>
      <c r="N49" s="2">
        <f ca="1">K49*12</f>
        <v>0</v>
      </c>
      <c r="O49">
        <f ca="1">DATEDIF(TODAY(),F49,"M")</f>
        <v>0</v>
      </c>
      <c r="P49">
        <v>0.8</v>
      </c>
      <c r="Q49" t="s">
        <v>27</v>
      </c>
    </row>
    <row r="50" spans="1:17">
      <c r="A50">
        <v>49</v>
      </c>
      <c r="B50" t="s">
        <v>156</v>
      </c>
      <c r="C50" t="s">
        <v>157</v>
      </c>
      <c r="D50" t="s">
        <v>85</v>
      </c>
      <c r="E50" s="4">
        <v>45292</v>
      </c>
      <c r="F50" s="4">
        <v>47118</v>
      </c>
      <c r="G50">
        <v>36</v>
      </c>
      <c r="H50">
        <v>2181</v>
      </c>
      <c r="I50" s="2">
        <v>2059</v>
      </c>
      <c r="J50" s="2">
        <v>514</v>
      </c>
      <c r="K50" s="2">
        <f ca="1">IF(M50="Occupied",I50+J50,0)</f>
        <v>0</v>
      </c>
      <c r="L50" s="2">
        <v>4118</v>
      </c>
      <c r="M50" t="s">
        <v>52</v>
      </c>
      <c r="N50" s="2">
        <f ca="1">K50*12</f>
        <v>0</v>
      </c>
      <c r="O50">
        <f ca="1">DATEDIF(TODAY(),F50,"M")</f>
        <v>0</v>
      </c>
      <c r="P50">
        <v>0.6</v>
      </c>
      <c r="Q50" t="s">
        <v>60</v>
      </c>
    </row>
    <row r="51" spans="1:17">
      <c r="A51">
        <v>50</v>
      </c>
      <c r="B51" t="s">
        <v>158</v>
      </c>
      <c r="C51" t="s">
        <v>159</v>
      </c>
      <c r="D51" t="s">
        <v>56</v>
      </c>
      <c r="E51" s="4">
        <v>45292</v>
      </c>
      <c r="F51" s="4">
        <v>47118</v>
      </c>
      <c r="G51">
        <v>48</v>
      </c>
      <c r="H51">
        <v>966</v>
      </c>
      <c r="I51" s="2">
        <v>4890</v>
      </c>
      <c r="J51" s="2">
        <v>308</v>
      </c>
      <c r="K51" s="2">
        <f ca="1">IF(M51="Occupied",I51+J51,0)</f>
        <v>0</v>
      </c>
      <c r="L51" s="2">
        <v>9780</v>
      </c>
      <c r="M51" t="s">
        <v>52</v>
      </c>
      <c r="N51" s="2">
        <f ca="1">K51*12</f>
        <v>0</v>
      </c>
      <c r="O51">
        <f ca="1">DATEDIF(TODAY(),F51,"M")</f>
        <v>0</v>
      </c>
      <c r="P51">
        <v>0.7</v>
      </c>
      <c r="Q51" t="s">
        <v>53</v>
      </c>
    </row>
  </sheetData>
  <conditionalFormatting sqref="M1:M1048576">
    <cfRule type="containsText" dxfId="0" operator="containsText" text="Vacant" priority="1">
      <formula>NOT(ISERROR(SEARCH("Vacant",M1)))</formula>
    </cfRule>
  </conditionalFormatting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M2"/>
  <sheetViews>
    <sheetView topLeftCell="A1" view="normal" workbookViewId="0">
      <selection pane="topLeft" activeCell="A1" sqref="A1"/>
    </sheetView>
  </sheetViews>
  <sheetFormatPr customHeight="true" defaultRowHeight="14.4"/>
  <cols>
    <col min="1" max="1" width="9.84765625" customWidth="1"/>
    <col min="2" max="2" width="13.27734375" customWidth="1"/>
    <col min="3" max="3" width="11.27734375" customWidth="1"/>
    <col min="4" max="4" width="19.7109375" customWidth="1"/>
    <col min="5" max="5" width="16.7109375" customWidth="1"/>
    <col min="6" max="6" width="15.5703125" customWidth="1"/>
    <col min="7" max="7" width="19.27734375" customWidth="1"/>
    <col min="8" max="8" width="14.41796875" customWidth="1"/>
    <col min="9" max="9" width="17.41796875" customWidth="1"/>
    <col min="10" max="10" width="17" customWidth="1"/>
    <col min="11" max="11" width="19.7109375" customWidth="1"/>
    <col min="12" max="12" width="12.41796875" customWidth="1"/>
    <col min="13" max="13" width="13.7109375" customWidth="1"/>
  </cols>
  <sheetData>
    <row r="1" spans="1:13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</row>
    <row r="2" spans="1:13">
      <c r="A2">
        <f ca="1">COUNTA('Rent Roll Data'!A2:A51)</f>
        <v>0</v>
      </c>
      <c r="B2">
        <f ca="1">COUNTIF('Rent Roll Data'!M2:M51,"Occupied")</f>
        <v>0</v>
      </c>
      <c r="C2">
        <f ca="1">COUNTIF('Rent Roll Data'!M2:M51,"Vacant")</f>
        <v>0</v>
      </c>
      <c r="D2" s="5">
        <f ca="1">B2/A2</f>
        <v>0</v>
      </c>
      <c r="E2" s="2">
        <f ca="1">SUM('Rent Roll Data'!K2:K51)</f>
        <v>0</v>
      </c>
      <c r="F2" s="2">
        <f ca="1">SUM('Rent Roll Data'!N2:N51)</f>
        <v>0</v>
      </c>
      <c r="G2" s="2">
        <f ca="1">AVERAGE('Rent Roll Data'!A11:AX11)</f>
        <v>0</v>
      </c>
      <c r="H2">
        <f ca="1">MAX('Rent Roll Data'!H2:H51)</f>
        <v>0</v>
      </c>
      <c r="I2" s="2">
        <f ca="1">MAX('Rent Roll Data'!N2:N51)</f>
        <v>0</v>
      </c>
      <c r="J2" s="2">
        <f ca="1">'Property Information'!S2</f>
        <v>0</v>
      </c>
      <c r="K2" s="2">
        <f ca="1">'Property Information'!T2</f>
        <v>0</v>
      </c>
      <c r="L2" s="2">
        <f ca="1">F2-(J2+K2)</f>
        <v>0</v>
      </c>
      <c r="M2" s="2">
        <f ca="1">L2/'Property Information'!R2</f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SridharAlagiriSamy</dc:creator>
  <dcterms:created xsi:type="dcterms:W3CDTF">2026-10-08T12:06:10Z</dcterms:created>
  <dcterms:modified xsi:type="dcterms:W3CDTF">2026-10-08T12:06:10Z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