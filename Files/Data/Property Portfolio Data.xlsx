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tmail-merge-with-vue-docx-editor-and-spreadsheet\Files\Data\"/>
    </mc:Choice>
  </mc:AlternateContent>
  <xr:revisionPtr revIDLastSave="0" documentId="13_ncr:1_{AE689D0B-02BA-4D02-BB3C-32CAB74597AF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Property Information" sheetId="1" r:id="rId1"/>
    <sheet name="Rent Roll Data" sheetId="2" r:id="rId2"/>
    <sheet name="Appraisal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J2" i="4"/>
  <c r="I2" i="4"/>
  <c r="H2" i="4"/>
  <c r="F2" i="4"/>
  <c r="E2" i="4"/>
  <c r="C2" i="4"/>
  <c r="A2" i="4"/>
  <c r="B2" i="4"/>
  <c r="O51" i="2"/>
  <c r="K51" i="2"/>
  <c r="N51" i="2" s="1"/>
  <c r="O50" i="2"/>
  <c r="K50" i="2"/>
  <c r="N50" i="2" s="1"/>
  <c r="O49" i="2"/>
  <c r="K49" i="2"/>
  <c r="N49" i="2" s="1"/>
  <c r="O48" i="2"/>
  <c r="K48" i="2"/>
  <c r="N48" i="2" s="1"/>
  <c r="O47" i="2"/>
  <c r="K47" i="2"/>
  <c r="N47" i="2" s="1"/>
  <c r="O46" i="2"/>
  <c r="K46" i="2"/>
  <c r="N46" i="2" s="1"/>
  <c r="O45" i="2"/>
  <c r="N45" i="2"/>
  <c r="K45" i="2"/>
  <c r="O44" i="2"/>
  <c r="N44" i="2"/>
  <c r="K44" i="2"/>
  <c r="O43" i="2"/>
  <c r="N43" i="2"/>
  <c r="K43" i="2"/>
  <c r="O42" i="2"/>
  <c r="K42" i="2"/>
  <c r="N42" i="2" s="1"/>
  <c r="O41" i="2"/>
  <c r="K41" i="2"/>
  <c r="N41" i="2" s="1"/>
  <c r="O40" i="2"/>
  <c r="K40" i="2"/>
  <c r="N40" i="2" s="1"/>
  <c r="O39" i="2"/>
  <c r="K39" i="2"/>
  <c r="N39" i="2" s="1"/>
  <c r="O38" i="2"/>
  <c r="K38" i="2"/>
  <c r="N38" i="2" s="1"/>
  <c r="O37" i="2"/>
  <c r="N37" i="2"/>
  <c r="K37" i="2"/>
  <c r="O36" i="2"/>
  <c r="N36" i="2"/>
  <c r="K36" i="2"/>
  <c r="O35" i="2"/>
  <c r="N35" i="2"/>
  <c r="K35" i="2"/>
  <c r="O34" i="2"/>
  <c r="K34" i="2"/>
  <c r="N34" i="2" s="1"/>
  <c r="O33" i="2"/>
  <c r="N33" i="2"/>
  <c r="K33" i="2"/>
  <c r="O32" i="2"/>
  <c r="K32" i="2"/>
  <c r="N32" i="2" s="1"/>
  <c r="O31" i="2"/>
  <c r="K31" i="2"/>
  <c r="N31" i="2" s="1"/>
  <c r="O30" i="2"/>
  <c r="K30" i="2"/>
  <c r="N30" i="2" s="1"/>
  <c r="O29" i="2"/>
  <c r="N29" i="2"/>
  <c r="K29" i="2"/>
  <c r="O28" i="2"/>
  <c r="N28" i="2"/>
  <c r="K28" i="2"/>
  <c r="O27" i="2"/>
  <c r="N27" i="2"/>
  <c r="K27" i="2"/>
  <c r="O26" i="2"/>
  <c r="K26" i="2"/>
  <c r="N26" i="2" s="1"/>
  <c r="O25" i="2"/>
  <c r="N25" i="2"/>
  <c r="K25" i="2"/>
  <c r="O24" i="2"/>
  <c r="K24" i="2"/>
  <c r="N24" i="2" s="1"/>
  <c r="O23" i="2"/>
  <c r="K23" i="2"/>
  <c r="N23" i="2" s="1"/>
  <c r="O22" i="2"/>
  <c r="K22" i="2"/>
  <c r="N22" i="2" s="1"/>
  <c r="O21" i="2"/>
  <c r="N21" i="2"/>
  <c r="K21" i="2"/>
  <c r="O20" i="2"/>
  <c r="N20" i="2"/>
  <c r="K20" i="2"/>
  <c r="O19" i="2"/>
  <c r="N19" i="2"/>
  <c r="K19" i="2"/>
  <c r="O18" i="2"/>
  <c r="K18" i="2"/>
  <c r="N18" i="2" s="1"/>
  <c r="O17" i="2"/>
  <c r="N17" i="2"/>
  <c r="K17" i="2"/>
  <c r="O16" i="2"/>
  <c r="K16" i="2"/>
  <c r="N16" i="2" s="1"/>
  <c r="O15" i="2"/>
  <c r="K15" i="2"/>
  <c r="N15" i="2" s="1"/>
  <c r="O14" i="2"/>
  <c r="K14" i="2"/>
  <c r="N14" i="2" s="1"/>
  <c r="O13" i="2"/>
  <c r="N13" i="2"/>
  <c r="K13" i="2"/>
  <c r="O12" i="2"/>
  <c r="N12" i="2"/>
  <c r="K12" i="2"/>
  <c r="O11" i="2"/>
  <c r="G2" i="4" s="1"/>
  <c r="N11" i="2"/>
  <c r="K11" i="2"/>
  <c r="O10" i="2"/>
  <c r="K10" i="2"/>
  <c r="N10" i="2" s="1"/>
  <c r="O9" i="2"/>
  <c r="N9" i="2"/>
  <c r="K9" i="2"/>
  <c r="O8" i="2"/>
  <c r="K8" i="2"/>
  <c r="N8" i="2" s="1"/>
  <c r="O7" i="2"/>
  <c r="K7" i="2"/>
  <c r="N7" i="2" s="1"/>
  <c r="O6" i="2"/>
  <c r="K6" i="2"/>
  <c r="N6" i="2" s="1"/>
  <c r="O5" i="2"/>
  <c r="N5" i="2"/>
  <c r="K5" i="2"/>
  <c r="O4" i="2"/>
  <c r="N4" i="2"/>
  <c r="K4" i="2"/>
  <c r="O3" i="2"/>
  <c r="N3" i="2"/>
  <c r="K3" i="2"/>
  <c r="O2" i="2"/>
  <c r="K2" i="2"/>
  <c r="L2" i="4" l="1"/>
  <c r="M2" i="4" s="1"/>
  <c r="D2" i="4"/>
  <c r="N2" i="2"/>
</calcChain>
</file>

<file path=xl/sharedStrings.xml><?xml version="1.0" encoding="utf-8"?>
<sst xmlns="http://schemas.openxmlformats.org/spreadsheetml/2006/main" count="312" uniqueCount="173">
  <si>
    <t>Property ID</t>
  </si>
  <si>
    <t>Property Name</t>
  </si>
  <si>
    <t>Property Type</t>
  </si>
  <si>
    <t>Address</t>
  </si>
  <si>
    <t>City</t>
  </si>
  <si>
    <t>State</t>
  </si>
  <si>
    <t>Zip Code</t>
  </si>
  <si>
    <t>Year Built</t>
  </si>
  <si>
    <t>Building Class</t>
  </si>
  <si>
    <t>Gross Building Area (Sq Ft)</t>
  </si>
  <si>
    <t>Net Rentable Area (Sq Ft)</t>
  </si>
  <si>
    <t>Land Area (Acres)</t>
  </si>
  <si>
    <t>Number of Floors</t>
  </si>
  <si>
    <t>Total Rental Units</t>
  </si>
  <si>
    <t>Property Manager</t>
  </si>
  <si>
    <t>Owner Name</t>
  </si>
  <si>
    <t>Appraisal Date</t>
  </si>
  <si>
    <t>Market Cap Rate</t>
  </si>
  <si>
    <t>Average Annual Operating Expense</t>
  </si>
  <si>
    <t>Average Annual Maintenance Expense</t>
  </si>
  <si>
    <t>Property Condition</t>
  </si>
  <si>
    <t>PROP-001</t>
  </si>
  <si>
    <t>Sunset Towers</t>
  </si>
  <si>
    <t>Commercial Office Building</t>
  </si>
  <si>
    <t>125 Market Street</t>
  </si>
  <si>
    <t>Chicago</t>
  </si>
  <si>
    <t>IL</t>
  </si>
  <si>
    <t>A</t>
  </si>
  <si>
    <t>Michael Johnson</t>
  </si>
  <si>
    <t>Sunset Holdings LLC</t>
  </si>
  <si>
    <t>Excellent</t>
  </si>
  <si>
    <t>Unit Number</t>
  </si>
  <si>
    <t>Tenant ID</t>
  </si>
  <si>
    <t>Tenant Name</t>
  </si>
  <si>
    <t>Industry Type</t>
  </si>
  <si>
    <t>Lease Start Date</t>
  </si>
  <si>
    <t>Lease End Date</t>
  </si>
  <si>
    <t>Lease Term (Months)</t>
  </si>
  <si>
    <t>Square Feet Leased</t>
  </si>
  <si>
    <t>Monthly Base Rent</t>
  </si>
  <si>
    <t>Additional Rent</t>
  </si>
  <si>
    <t>Monthly Rent Total</t>
  </si>
  <si>
    <t>Security Deposit</t>
  </si>
  <si>
    <t>Occupancy Status</t>
  </si>
  <si>
    <t>Annual Rent</t>
  </si>
  <si>
    <t>Remaining Lease Term (Months)</t>
  </si>
  <si>
    <t>Renewal Probability</t>
  </si>
  <si>
    <t>Credit Rating</t>
  </si>
  <si>
    <t>Notes</t>
  </si>
  <si>
    <t>T001</t>
  </si>
  <si>
    <t>Tenant 1</t>
  </si>
  <si>
    <t>Finance</t>
  </si>
  <si>
    <t>Occupied</t>
  </si>
  <si>
    <t>B</t>
  </si>
  <si>
    <t>T002</t>
  </si>
  <si>
    <t>Tenant 2</t>
  </si>
  <si>
    <t>Healthcare</t>
  </si>
  <si>
    <t>A-</t>
  </si>
  <si>
    <t>T003</t>
  </si>
  <si>
    <t>Tenant 3</t>
  </si>
  <si>
    <t>B+</t>
  </si>
  <si>
    <t>T004</t>
  </si>
  <si>
    <t>Tenant 4</t>
  </si>
  <si>
    <t>Legal</t>
  </si>
  <si>
    <t>T005</t>
  </si>
  <si>
    <t>Tenant 5</t>
  </si>
  <si>
    <t>T006</t>
  </si>
  <si>
    <t>Tenant 6</t>
  </si>
  <si>
    <t>Vacant</t>
  </si>
  <si>
    <t>T007</t>
  </si>
  <si>
    <t>Tenant 7</t>
  </si>
  <si>
    <t>T008</t>
  </si>
  <si>
    <t>Tenant 8</t>
  </si>
  <si>
    <t>Consulting</t>
  </si>
  <si>
    <t>T009</t>
  </si>
  <si>
    <t>Tenant 9</t>
  </si>
  <si>
    <t>Technology</t>
  </si>
  <si>
    <t>T010</t>
  </si>
  <si>
    <t>Tenant 10</t>
  </si>
  <si>
    <t>T011</t>
  </si>
  <si>
    <t>Tenant 11</t>
  </si>
  <si>
    <t>T012</t>
  </si>
  <si>
    <t>Tenant 12</t>
  </si>
  <si>
    <t>T013</t>
  </si>
  <si>
    <t>Tenant 13</t>
  </si>
  <si>
    <t>Marketing</t>
  </si>
  <si>
    <t>T014</t>
  </si>
  <si>
    <t>Tenant 14</t>
  </si>
  <si>
    <t>T015</t>
  </si>
  <si>
    <t>Tenant 15</t>
  </si>
  <si>
    <t>T016</t>
  </si>
  <si>
    <t>Tenant 16</t>
  </si>
  <si>
    <t>T017</t>
  </si>
  <si>
    <t>Tenant 17</t>
  </si>
  <si>
    <t>T018</t>
  </si>
  <si>
    <t>Tenant 18</t>
  </si>
  <si>
    <t>T019</t>
  </si>
  <si>
    <t>Tenant 19</t>
  </si>
  <si>
    <t>T020</t>
  </si>
  <si>
    <t>Tenant 20</t>
  </si>
  <si>
    <t>T021</t>
  </si>
  <si>
    <t>Tenant 21</t>
  </si>
  <si>
    <t>T022</t>
  </si>
  <si>
    <t>Tenant 22</t>
  </si>
  <si>
    <t>T023</t>
  </si>
  <si>
    <t>Tenant 23</t>
  </si>
  <si>
    <t>T024</t>
  </si>
  <si>
    <t>Tenant 24</t>
  </si>
  <si>
    <t>T025</t>
  </si>
  <si>
    <t>Tenant 25</t>
  </si>
  <si>
    <t>T026</t>
  </si>
  <si>
    <t>Tenant 26</t>
  </si>
  <si>
    <t>T027</t>
  </si>
  <si>
    <t>Tenant 27</t>
  </si>
  <si>
    <t>T028</t>
  </si>
  <si>
    <t>Tenant 28</t>
  </si>
  <si>
    <t>T029</t>
  </si>
  <si>
    <t>Tenant 29</t>
  </si>
  <si>
    <t>T030</t>
  </si>
  <si>
    <t>Tenant 30</t>
  </si>
  <si>
    <t>T031</t>
  </si>
  <si>
    <t>Tenant 31</t>
  </si>
  <si>
    <t>T032</t>
  </si>
  <si>
    <t>Tenant 32</t>
  </si>
  <si>
    <t>T033</t>
  </si>
  <si>
    <t>Tenant 33</t>
  </si>
  <si>
    <t>T034</t>
  </si>
  <si>
    <t>Tenant 34</t>
  </si>
  <si>
    <t>T035</t>
  </si>
  <si>
    <t>Tenant 35</t>
  </si>
  <si>
    <t>T036</t>
  </si>
  <si>
    <t>Tenant 36</t>
  </si>
  <si>
    <t>T037</t>
  </si>
  <si>
    <t>Tenant 37</t>
  </si>
  <si>
    <t>T038</t>
  </si>
  <si>
    <t>Tenant 38</t>
  </si>
  <si>
    <t>T039</t>
  </si>
  <si>
    <t>Tenant 39</t>
  </si>
  <si>
    <t>T040</t>
  </si>
  <si>
    <t>Tenant 40</t>
  </si>
  <si>
    <t>T041</t>
  </si>
  <si>
    <t>Tenant 41</t>
  </si>
  <si>
    <t>T042</t>
  </si>
  <si>
    <t>Tenant 42</t>
  </si>
  <si>
    <t>T043</t>
  </si>
  <si>
    <t>Tenant 43</t>
  </si>
  <si>
    <t>T044</t>
  </si>
  <si>
    <t>Tenant 44</t>
  </si>
  <si>
    <t>T045</t>
  </si>
  <si>
    <t>Tenant 45</t>
  </si>
  <si>
    <t>T046</t>
  </si>
  <si>
    <t>Tenant 46</t>
  </si>
  <si>
    <t>T047</t>
  </si>
  <si>
    <t>Tenant 47</t>
  </si>
  <si>
    <t>T048</t>
  </si>
  <si>
    <t>Tenant 48</t>
  </si>
  <si>
    <t>T049</t>
  </si>
  <si>
    <t>Tenant 49</t>
  </si>
  <si>
    <t>T050</t>
  </si>
  <si>
    <t>Tenant 50</t>
  </si>
  <si>
    <t>Total Units</t>
  </si>
  <si>
    <t>Occupied Units</t>
  </si>
  <si>
    <t>Vacant Units</t>
  </si>
  <si>
    <t>Occupancy Percentage</t>
  </si>
  <si>
    <t>Total Monthly Rent</t>
  </si>
  <si>
    <t>Total Annual Rent</t>
  </si>
  <si>
    <t>Average Monthly Rent</t>
  </si>
  <si>
    <t>Largest Unit Size</t>
  </si>
  <si>
    <t>Highest Annual Rent</t>
  </si>
  <si>
    <t>Operating Expenses</t>
  </si>
  <si>
    <t>Maintenance Expenses</t>
  </si>
  <si>
    <t>NOI</t>
  </si>
  <si>
    <t>Property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</si>
</sst>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name val="Calibri"/>
    </font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/>
    <xf numFmtId="0" fontId="1" fillId="0" borderId="0">
      <protection locked="0"/>
    </xf>
    <xf numFmtId="0" fontId="1" fillId="0" borderId="0"/>
    <xf numFmtId="0" fontId="1" fillId="0" borderId="0">
      <protection locked="0"/>
    </xf>
    <xf numFmtId="0" fontId="1" fillId="0" borderId="0"/>
    <xf numFmtId="0" fontId="1" fillId="0" borderId="0">
      <protection locked="0"/>
    </xf>
  </cellStyleXfs>
  <cellXfs count="6">
    <xf numFmtId="0" fontId="0" fillId="0" borderId="0" xfId="0"/>
    <xf numFmtId="164" fontId="0" fillId="0" borderId="0" xfId="0" applyNumberFormat="1"/>
    <xf numFmtId="0" fontId="2" fillId="2" borderId="0" xfId="0" applyFont="1" applyFill="1"/>
    <xf numFmtId="164" fontId="2" fillId="2" borderId="0" xfId="0" applyNumberFormat="1" applyFont="1" applyFill="1"/>
    <xf numFmtId="14" fontId="0" fillId="0" borderId="0" xfId="0" applyNumberFormat="1"/>
    <xf numFmtId="10" fontId="0" fillId="0" borderId="0" xfId="0" applyNumberFormat="1"/>
  </cellXfs>
  <cellStyles count="7">
    <cellStyle name="Appraisal SummaryLockedColumnStyle" xfId="5" xr:uid="{00000000-0005-0000-0000-00000A000000}"/>
    <cellStyle name="Appraisal SummaryUnLockedColumnStyle" xfId="6" xr:uid="{00000000-0005-0000-0000-00000B000000}"/>
    <cellStyle name="Normal" xfId="0" builtinId="0"/>
    <cellStyle name="Property InformationLockedColumnStyle" xfId="1" xr:uid="{00000000-0005-0000-0000-000006000000}"/>
    <cellStyle name="Property InformationUnLockedColumnStyle" xfId="2" xr:uid="{00000000-0005-0000-0000-000007000000}"/>
    <cellStyle name="Rent Roll DataLockedColumnStyle" xfId="3" xr:uid="{00000000-0005-0000-0000-000008000000}"/>
    <cellStyle name="Rent Roll DataUnLockedColumnStyle" xfId="4" xr:uid="{00000000-0005-0000-0000-000009000000}"/>
  </cellStyles>
  <dxfs count="1">
    <dxf>
      <fill>
        <patternFill>
          <fgColor indexed="64"/>
          <bgColor rgb="FFFFFFFF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"/>
  <sheetViews>
    <sheetView topLeftCell="F1" workbookViewId="0">
      <selection activeCell="T2" sqref="T2"/>
    </sheetView>
  </sheetViews>
  <sheetFormatPr defaultRowHeight="14.4" customHeight="1" x14ac:dyDescent="0.3"/>
  <cols>
    <col min="1" max="1" width="10.5546875" bestFit="1" customWidth="1"/>
    <col min="2" max="2" width="13.88671875" bestFit="1" customWidth="1"/>
    <col min="3" max="3" width="23.33203125" bestFit="1" customWidth="1"/>
    <col min="4" max="4" width="15.77734375" bestFit="1" customWidth="1"/>
    <col min="5" max="5" width="7.44140625" bestFit="1" customWidth="1"/>
    <col min="6" max="6" width="5.33203125" bestFit="1" customWidth="1"/>
    <col min="7" max="7" width="8.33203125" bestFit="1" customWidth="1"/>
    <col min="9" max="9" width="12.33203125" bestFit="1" customWidth="1"/>
    <col min="10" max="10" width="23.33203125" bestFit="1" customWidth="1"/>
    <col min="11" max="11" width="22.44140625" bestFit="1" customWidth="1"/>
    <col min="12" max="12" width="15.88671875" bestFit="1" customWidth="1"/>
    <col min="13" max="13" width="15.6640625" bestFit="1" customWidth="1"/>
    <col min="14" max="14" width="15.88671875" bestFit="1" customWidth="1"/>
    <col min="15" max="15" width="16.44140625" bestFit="1" customWidth="1"/>
    <col min="16" max="16" width="17.21875" bestFit="1" customWidth="1"/>
    <col min="17" max="17" width="13.21875" bestFit="1" customWidth="1"/>
    <col min="18" max="18" width="15.109375" bestFit="1" customWidth="1"/>
    <col min="19" max="19" width="31" bestFit="1" customWidth="1"/>
    <col min="20" max="20" width="33.88671875" bestFit="1" customWidth="1"/>
    <col min="21" max="21" width="17.21875" bestFit="1" customWidth="1"/>
  </cols>
  <sheetData>
    <row r="1" spans="1:21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3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>
        <v>60601</v>
      </c>
      <c r="H2">
        <v>2015</v>
      </c>
      <c r="I2" t="s">
        <v>27</v>
      </c>
      <c r="J2">
        <v>120000</v>
      </c>
      <c r="K2">
        <v>100000</v>
      </c>
      <c r="L2">
        <v>2.5</v>
      </c>
      <c r="M2">
        <v>15</v>
      </c>
      <c r="N2">
        <v>50</v>
      </c>
      <c r="O2" t="s">
        <v>28</v>
      </c>
      <c r="P2" t="s">
        <v>29</v>
      </c>
      <c r="Q2">
        <v>46301</v>
      </c>
      <c r="R2">
        <v>6.5000000000000002E-2</v>
      </c>
      <c r="S2" s="1">
        <v>450000</v>
      </c>
      <c r="T2" s="1">
        <v>120000</v>
      </c>
      <c r="U2" t="s">
        <v>30</v>
      </c>
    </row>
  </sheetData>
  <pageMargins left="0.7" right="0.7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workbookViewId="0">
      <selection activeCell="B1" sqref="B1"/>
    </sheetView>
  </sheetViews>
  <sheetFormatPr defaultRowHeight="14.4" customHeight="1" x14ac:dyDescent="0.3"/>
  <cols>
    <col min="1" max="1" width="14.5546875" customWidth="1"/>
    <col min="2" max="4" width="22" customWidth="1"/>
    <col min="5" max="5" width="18.5546875" customWidth="1"/>
    <col min="6" max="6" width="20" customWidth="1"/>
    <col min="7" max="14" width="22" customWidth="1"/>
    <col min="15" max="15" width="30.6640625" customWidth="1"/>
    <col min="16" max="18" width="22" customWidth="1"/>
  </cols>
  <sheetData>
    <row r="1" spans="1:18" x14ac:dyDescent="0.3">
      <c r="A1" s="2" t="s">
        <v>31</v>
      </c>
      <c r="B1" s="2" t="s">
        <v>32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3" t="s">
        <v>39</v>
      </c>
      <c r="J1" s="3" t="s">
        <v>40</v>
      </c>
      <c r="K1" s="3" t="s">
        <v>41</v>
      </c>
      <c r="L1" s="3" t="s">
        <v>42</v>
      </c>
      <c r="M1" s="2" t="s">
        <v>43</v>
      </c>
      <c r="N1" s="3" t="s">
        <v>44</v>
      </c>
      <c r="O1" s="2" t="s">
        <v>45</v>
      </c>
      <c r="P1" s="2" t="s">
        <v>46</v>
      </c>
      <c r="Q1" s="2" t="s">
        <v>47</v>
      </c>
      <c r="R1" s="2" t="s">
        <v>48</v>
      </c>
    </row>
    <row r="2" spans="1:18" x14ac:dyDescent="0.3">
      <c r="A2">
        <v>1</v>
      </c>
      <c r="B2" t="s">
        <v>49</v>
      </c>
      <c r="C2" t="s">
        <v>50</v>
      </c>
      <c r="D2" t="s">
        <v>51</v>
      </c>
      <c r="E2" s="4">
        <v>45292</v>
      </c>
      <c r="F2" s="4">
        <v>47118</v>
      </c>
      <c r="G2">
        <v>60</v>
      </c>
      <c r="H2">
        <v>3217</v>
      </c>
      <c r="I2" s="1">
        <v>4398</v>
      </c>
      <c r="J2" s="1">
        <v>426</v>
      </c>
      <c r="K2" s="1">
        <f t="shared" ref="K2:K33" si="0">IF(M2="Occupied",I2+J2,0)</f>
        <v>4824</v>
      </c>
      <c r="L2" s="1">
        <v>8796</v>
      </c>
      <c r="M2" t="s">
        <v>52</v>
      </c>
      <c r="N2" s="1">
        <f t="shared" ref="N2:N33" si="1">K2*12</f>
        <v>57888</v>
      </c>
      <c r="O2">
        <f t="shared" ref="O2:O33" ca="1" si="2">DATEDIF(TODAY(),F2,"M")</f>
        <v>26</v>
      </c>
      <c r="P2">
        <v>0.6</v>
      </c>
      <c r="Q2" t="s">
        <v>53</v>
      </c>
    </row>
    <row r="3" spans="1:18" x14ac:dyDescent="0.3">
      <c r="A3">
        <v>2</v>
      </c>
      <c r="B3" t="s">
        <v>54</v>
      </c>
      <c r="C3" t="s">
        <v>55</v>
      </c>
      <c r="D3" t="s">
        <v>56</v>
      </c>
      <c r="E3" s="4">
        <v>45292</v>
      </c>
      <c r="F3" s="4">
        <v>47118</v>
      </c>
      <c r="G3">
        <v>24</v>
      </c>
      <c r="H3">
        <v>1145</v>
      </c>
      <c r="I3" s="1">
        <v>5634</v>
      </c>
      <c r="J3" s="1">
        <v>790</v>
      </c>
      <c r="K3" s="1">
        <f t="shared" si="0"/>
        <v>6424</v>
      </c>
      <c r="L3" s="1">
        <v>11268</v>
      </c>
      <c r="M3" t="s">
        <v>52</v>
      </c>
      <c r="N3" s="1">
        <f t="shared" si="1"/>
        <v>77088</v>
      </c>
      <c r="O3">
        <f t="shared" ca="1" si="2"/>
        <v>26</v>
      </c>
      <c r="P3">
        <v>0.7</v>
      </c>
      <c r="Q3" t="s">
        <v>57</v>
      </c>
    </row>
    <row r="4" spans="1:18" x14ac:dyDescent="0.3">
      <c r="A4">
        <v>3</v>
      </c>
      <c r="B4" t="s">
        <v>58</v>
      </c>
      <c r="C4" t="s">
        <v>59</v>
      </c>
      <c r="D4" t="s">
        <v>56</v>
      </c>
      <c r="E4" s="4">
        <v>45292</v>
      </c>
      <c r="F4" s="4">
        <v>47118</v>
      </c>
      <c r="G4">
        <v>60</v>
      </c>
      <c r="H4">
        <v>2727</v>
      </c>
      <c r="I4" s="1">
        <v>3753</v>
      </c>
      <c r="J4" s="1">
        <v>156</v>
      </c>
      <c r="K4" s="1">
        <f t="shared" si="0"/>
        <v>3909</v>
      </c>
      <c r="L4" s="1">
        <v>7506</v>
      </c>
      <c r="M4" t="s">
        <v>52</v>
      </c>
      <c r="N4" s="1">
        <f t="shared" si="1"/>
        <v>46908</v>
      </c>
      <c r="O4">
        <f t="shared" ca="1" si="2"/>
        <v>26</v>
      </c>
      <c r="P4">
        <v>0.6</v>
      </c>
      <c r="Q4" t="s">
        <v>60</v>
      </c>
    </row>
    <row r="5" spans="1:18" x14ac:dyDescent="0.3">
      <c r="A5">
        <v>4</v>
      </c>
      <c r="B5" t="s">
        <v>61</v>
      </c>
      <c r="C5" t="s">
        <v>62</v>
      </c>
      <c r="D5" t="s">
        <v>63</v>
      </c>
      <c r="E5" s="4">
        <v>45292</v>
      </c>
      <c r="F5" s="4">
        <v>47118</v>
      </c>
      <c r="G5">
        <v>48</v>
      </c>
      <c r="H5">
        <v>1269</v>
      </c>
      <c r="I5" s="1">
        <v>2768</v>
      </c>
      <c r="J5" s="1">
        <v>280</v>
      </c>
      <c r="K5" s="1">
        <f t="shared" si="0"/>
        <v>3048</v>
      </c>
      <c r="L5" s="1">
        <v>5536</v>
      </c>
      <c r="M5" t="s">
        <v>52</v>
      </c>
      <c r="N5" s="1">
        <f t="shared" si="1"/>
        <v>36576</v>
      </c>
      <c r="O5">
        <f t="shared" ca="1" si="2"/>
        <v>26</v>
      </c>
      <c r="P5">
        <v>0.6</v>
      </c>
      <c r="Q5" t="s">
        <v>57</v>
      </c>
    </row>
    <row r="6" spans="1:18" x14ac:dyDescent="0.3">
      <c r="A6">
        <v>5</v>
      </c>
      <c r="B6" t="s">
        <v>64</v>
      </c>
      <c r="C6" t="s">
        <v>65</v>
      </c>
      <c r="D6" t="s">
        <v>56</v>
      </c>
      <c r="E6" s="4">
        <v>45292</v>
      </c>
      <c r="F6" s="4">
        <v>47118</v>
      </c>
      <c r="G6">
        <v>24</v>
      </c>
      <c r="H6">
        <v>1571</v>
      </c>
      <c r="I6" s="1">
        <v>4891</v>
      </c>
      <c r="J6" s="1">
        <v>169</v>
      </c>
      <c r="K6" s="1">
        <f t="shared" si="0"/>
        <v>5060</v>
      </c>
      <c r="L6" s="1">
        <v>9782</v>
      </c>
      <c r="M6" t="s">
        <v>52</v>
      </c>
      <c r="N6" s="1">
        <f t="shared" si="1"/>
        <v>60720</v>
      </c>
      <c r="O6">
        <f t="shared" ca="1" si="2"/>
        <v>26</v>
      </c>
      <c r="P6">
        <v>0.7</v>
      </c>
      <c r="Q6" t="s">
        <v>57</v>
      </c>
    </row>
    <row r="7" spans="1:18" x14ac:dyDescent="0.3">
      <c r="A7">
        <v>6</v>
      </c>
      <c r="B7" t="s">
        <v>66</v>
      </c>
      <c r="C7" t="s">
        <v>67</v>
      </c>
      <c r="D7" t="s">
        <v>56</v>
      </c>
      <c r="E7" s="4">
        <v>45292</v>
      </c>
      <c r="F7" s="4">
        <v>47118</v>
      </c>
      <c r="G7">
        <v>48</v>
      </c>
      <c r="H7">
        <v>1619</v>
      </c>
      <c r="I7" s="1">
        <v>3267</v>
      </c>
      <c r="J7" s="1">
        <v>186</v>
      </c>
      <c r="K7" s="1">
        <f t="shared" si="0"/>
        <v>0</v>
      </c>
      <c r="L7" s="1">
        <v>8250</v>
      </c>
      <c r="M7" t="s">
        <v>68</v>
      </c>
      <c r="N7" s="1">
        <f t="shared" si="1"/>
        <v>0</v>
      </c>
      <c r="O7">
        <f t="shared" ca="1" si="2"/>
        <v>26</v>
      </c>
      <c r="P7">
        <v>0.8</v>
      </c>
      <c r="Q7" t="s">
        <v>53</v>
      </c>
    </row>
    <row r="8" spans="1:18" x14ac:dyDescent="0.3">
      <c r="A8">
        <v>7</v>
      </c>
      <c r="B8" t="s">
        <v>69</v>
      </c>
      <c r="C8" t="s">
        <v>70</v>
      </c>
      <c r="D8" t="s">
        <v>63</v>
      </c>
      <c r="E8" s="4">
        <v>45292</v>
      </c>
      <c r="F8" s="4">
        <v>47118</v>
      </c>
      <c r="G8">
        <v>60</v>
      </c>
      <c r="H8">
        <v>3059</v>
      </c>
      <c r="I8" s="1">
        <v>5852</v>
      </c>
      <c r="J8" s="1">
        <v>316</v>
      </c>
      <c r="K8" s="1">
        <f t="shared" si="0"/>
        <v>6168</v>
      </c>
      <c r="L8" s="1">
        <v>11704</v>
      </c>
      <c r="M8" t="s">
        <v>52</v>
      </c>
      <c r="N8" s="1">
        <f t="shared" si="1"/>
        <v>74016</v>
      </c>
      <c r="O8">
        <f t="shared" ca="1" si="2"/>
        <v>26</v>
      </c>
      <c r="P8">
        <v>0.6</v>
      </c>
      <c r="Q8" t="s">
        <v>57</v>
      </c>
    </row>
    <row r="9" spans="1:18" x14ac:dyDescent="0.3">
      <c r="A9">
        <v>8</v>
      </c>
      <c r="B9" t="s">
        <v>71</v>
      </c>
      <c r="C9" t="s">
        <v>72</v>
      </c>
      <c r="D9" t="s">
        <v>73</v>
      </c>
      <c r="E9" s="4">
        <v>45292</v>
      </c>
      <c r="F9" s="4">
        <v>47118</v>
      </c>
      <c r="G9">
        <v>24</v>
      </c>
      <c r="H9">
        <v>3257</v>
      </c>
      <c r="I9" s="1">
        <v>2940</v>
      </c>
      <c r="J9" s="1">
        <v>539</v>
      </c>
      <c r="K9" s="1">
        <f t="shared" si="0"/>
        <v>3479</v>
      </c>
      <c r="L9" s="1">
        <v>5880</v>
      </c>
      <c r="M9" t="s">
        <v>52</v>
      </c>
      <c r="N9" s="1">
        <f t="shared" si="1"/>
        <v>41748</v>
      </c>
      <c r="O9">
        <f t="shared" ca="1" si="2"/>
        <v>26</v>
      </c>
      <c r="P9">
        <v>0.6</v>
      </c>
      <c r="Q9" t="s">
        <v>57</v>
      </c>
    </row>
    <row r="10" spans="1:18" x14ac:dyDescent="0.3">
      <c r="A10">
        <v>9</v>
      </c>
      <c r="B10" t="s">
        <v>74</v>
      </c>
      <c r="C10" t="s">
        <v>75</v>
      </c>
      <c r="D10" t="s">
        <v>76</v>
      </c>
      <c r="E10" s="4">
        <v>45292</v>
      </c>
      <c r="F10" s="4">
        <v>47118</v>
      </c>
      <c r="G10">
        <v>36</v>
      </c>
      <c r="H10">
        <v>1523</v>
      </c>
      <c r="I10" s="1">
        <v>4339</v>
      </c>
      <c r="J10" s="1">
        <v>798</v>
      </c>
      <c r="K10" s="1">
        <f t="shared" si="0"/>
        <v>5137</v>
      </c>
      <c r="L10" s="1">
        <v>8678</v>
      </c>
      <c r="M10" t="s">
        <v>52</v>
      </c>
      <c r="N10" s="1">
        <f t="shared" si="1"/>
        <v>61644</v>
      </c>
      <c r="O10">
        <f t="shared" ca="1" si="2"/>
        <v>26</v>
      </c>
      <c r="P10">
        <v>0.9</v>
      </c>
      <c r="Q10" t="s">
        <v>53</v>
      </c>
    </row>
    <row r="11" spans="1:18" x14ac:dyDescent="0.3">
      <c r="A11">
        <v>10</v>
      </c>
      <c r="B11" t="s">
        <v>77</v>
      </c>
      <c r="C11" t="s">
        <v>78</v>
      </c>
      <c r="D11" t="s">
        <v>63</v>
      </c>
      <c r="E11" s="4">
        <v>45292</v>
      </c>
      <c r="F11" s="4">
        <v>47118</v>
      </c>
      <c r="G11">
        <v>24</v>
      </c>
      <c r="H11">
        <v>2788</v>
      </c>
      <c r="I11" s="1">
        <v>4793</v>
      </c>
      <c r="J11" s="1">
        <v>519</v>
      </c>
      <c r="K11" s="1">
        <f t="shared" si="0"/>
        <v>5312</v>
      </c>
      <c r="L11" s="1">
        <v>9586</v>
      </c>
      <c r="M11" t="s">
        <v>52</v>
      </c>
      <c r="N11" s="1">
        <f t="shared" si="1"/>
        <v>63744</v>
      </c>
      <c r="O11">
        <f t="shared" ca="1" si="2"/>
        <v>26</v>
      </c>
      <c r="P11">
        <v>0.9</v>
      </c>
      <c r="Q11" t="s">
        <v>27</v>
      </c>
    </row>
    <row r="12" spans="1:18" x14ac:dyDescent="0.3">
      <c r="A12">
        <v>11</v>
      </c>
      <c r="B12" t="s">
        <v>79</v>
      </c>
      <c r="C12" t="s">
        <v>80</v>
      </c>
      <c r="D12" t="s">
        <v>56</v>
      </c>
      <c r="E12" s="4">
        <v>45292</v>
      </c>
      <c r="F12" s="4">
        <v>47118</v>
      </c>
      <c r="G12">
        <v>36</v>
      </c>
      <c r="H12">
        <v>2240</v>
      </c>
      <c r="I12" s="1">
        <v>4235</v>
      </c>
      <c r="J12" s="1">
        <v>145</v>
      </c>
      <c r="K12" s="1">
        <f t="shared" si="0"/>
        <v>4380</v>
      </c>
      <c r="L12" s="1">
        <v>8470</v>
      </c>
      <c r="M12" t="s">
        <v>52</v>
      </c>
      <c r="N12" s="1">
        <f t="shared" si="1"/>
        <v>52560</v>
      </c>
      <c r="O12">
        <f t="shared" ca="1" si="2"/>
        <v>26</v>
      </c>
      <c r="P12">
        <v>0.6</v>
      </c>
      <c r="Q12" t="s">
        <v>57</v>
      </c>
    </row>
    <row r="13" spans="1:18" x14ac:dyDescent="0.3">
      <c r="A13">
        <v>12</v>
      </c>
      <c r="B13" t="s">
        <v>81</v>
      </c>
      <c r="C13" t="s">
        <v>82</v>
      </c>
      <c r="D13" t="s">
        <v>76</v>
      </c>
      <c r="E13" s="4">
        <v>45292</v>
      </c>
      <c r="F13" s="4">
        <v>47118</v>
      </c>
      <c r="G13">
        <v>24</v>
      </c>
      <c r="H13">
        <v>2200</v>
      </c>
      <c r="I13" s="1">
        <v>3756</v>
      </c>
      <c r="J13" s="1">
        <v>698</v>
      </c>
      <c r="K13" s="1">
        <f t="shared" si="0"/>
        <v>4454</v>
      </c>
      <c r="L13" s="1">
        <v>7512</v>
      </c>
      <c r="M13" t="s">
        <v>52</v>
      </c>
      <c r="N13" s="1">
        <f t="shared" si="1"/>
        <v>53448</v>
      </c>
      <c r="O13">
        <f t="shared" ca="1" si="2"/>
        <v>26</v>
      </c>
      <c r="P13">
        <v>0.9</v>
      </c>
      <c r="Q13" t="s">
        <v>57</v>
      </c>
    </row>
    <row r="14" spans="1:18" x14ac:dyDescent="0.3">
      <c r="A14">
        <v>13</v>
      </c>
      <c r="B14" t="s">
        <v>83</v>
      </c>
      <c r="C14" t="s">
        <v>84</v>
      </c>
      <c r="D14" t="s">
        <v>85</v>
      </c>
      <c r="E14" s="4">
        <v>45292</v>
      </c>
      <c r="F14" s="4">
        <v>47118</v>
      </c>
      <c r="G14">
        <v>36</v>
      </c>
      <c r="H14">
        <v>1137</v>
      </c>
      <c r="I14" s="1">
        <v>2469</v>
      </c>
      <c r="J14" s="1">
        <v>136</v>
      </c>
      <c r="K14" s="1">
        <f t="shared" si="0"/>
        <v>0</v>
      </c>
      <c r="L14" s="1">
        <v>5437</v>
      </c>
      <c r="M14" t="s">
        <v>68</v>
      </c>
      <c r="N14" s="1">
        <f t="shared" si="1"/>
        <v>0</v>
      </c>
      <c r="O14">
        <f t="shared" ca="1" si="2"/>
        <v>26</v>
      </c>
      <c r="P14">
        <v>0.7</v>
      </c>
      <c r="Q14" t="s">
        <v>53</v>
      </c>
    </row>
    <row r="15" spans="1:18" x14ac:dyDescent="0.3">
      <c r="A15">
        <v>14</v>
      </c>
      <c r="B15" t="s">
        <v>86</v>
      </c>
      <c r="C15" t="s">
        <v>87</v>
      </c>
      <c r="D15" t="s">
        <v>73</v>
      </c>
      <c r="E15" s="4">
        <v>45292</v>
      </c>
      <c r="F15" s="4">
        <v>47118</v>
      </c>
      <c r="G15">
        <v>24</v>
      </c>
      <c r="H15">
        <v>1067</v>
      </c>
      <c r="I15" s="1">
        <v>5082</v>
      </c>
      <c r="J15" s="1">
        <v>134</v>
      </c>
      <c r="K15" s="1">
        <f t="shared" si="0"/>
        <v>5216</v>
      </c>
      <c r="L15" s="1">
        <v>10164</v>
      </c>
      <c r="M15" t="s">
        <v>52</v>
      </c>
      <c r="N15" s="1">
        <f t="shared" si="1"/>
        <v>62592</v>
      </c>
      <c r="O15">
        <f t="shared" ca="1" si="2"/>
        <v>26</v>
      </c>
      <c r="P15">
        <v>0.6</v>
      </c>
      <c r="Q15" t="s">
        <v>60</v>
      </c>
    </row>
    <row r="16" spans="1:18" x14ac:dyDescent="0.3">
      <c r="A16">
        <v>15</v>
      </c>
      <c r="B16" t="s">
        <v>88</v>
      </c>
      <c r="C16" t="s">
        <v>89</v>
      </c>
      <c r="D16" t="s">
        <v>73</v>
      </c>
      <c r="E16" s="4">
        <v>45292</v>
      </c>
      <c r="F16" s="4">
        <v>47118</v>
      </c>
      <c r="G16">
        <v>36</v>
      </c>
      <c r="H16">
        <v>1415</v>
      </c>
      <c r="I16" s="1">
        <v>1909</v>
      </c>
      <c r="J16" s="1">
        <v>629</v>
      </c>
      <c r="K16" s="1">
        <f t="shared" si="0"/>
        <v>2538</v>
      </c>
      <c r="L16" s="1">
        <v>3818</v>
      </c>
      <c r="M16" t="s">
        <v>52</v>
      </c>
      <c r="N16" s="1">
        <f t="shared" si="1"/>
        <v>30456</v>
      </c>
      <c r="O16">
        <f t="shared" ca="1" si="2"/>
        <v>26</v>
      </c>
      <c r="P16">
        <v>0.6</v>
      </c>
      <c r="Q16" t="s">
        <v>57</v>
      </c>
    </row>
    <row r="17" spans="1:17" x14ac:dyDescent="0.3">
      <c r="A17">
        <v>16</v>
      </c>
      <c r="B17" t="s">
        <v>90</v>
      </c>
      <c r="C17" t="s">
        <v>91</v>
      </c>
      <c r="D17" t="s">
        <v>73</v>
      </c>
      <c r="E17" s="4">
        <v>45292</v>
      </c>
      <c r="F17" s="4">
        <v>47118</v>
      </c>
      <c r="G17">
        <v>60</v>
      </c>
      <c r="H17">
        <v>2885</v>
      </c>
      <c r="I17" s="1">
        <v>5879</v>
      </c>
      <c r="J17" s="1">
        <v>356</v>
      </c>
      <c r="K17" s="1">
        <f t="shared" si="0"/>
        <v>6235</v>
      </c>
      <c r="L17" s="1">
        <v>11758</v>
      </c>
      <c r="M17" t="s">
        <v>52</v>
      </c>
      <c r="N17" s="1">
        <f t="shared" si="1"/>
        <v>74820</v>
      </c>
      <c r="O17">
        <f t="shared" ca="1" si="2"/>
        <v>26</v>
      </c>
      <c r="P17">
        <v>0.8</v>
      </c>
      <c r="Q17" t="s">
        <v>57</v>
      </c>
    </row>
    <row r="18" spans="1:17" x14ac:dyDescent="0.3">
      <c r="A18">
        <v>17</v>
      </c>
      <c r="B18" t="s">
        <v>92</v>
      </c>
      <c r="C18" t="s">
        <v>93</v>
      </c>
      <c r="D18" t="s">
        <v>76</v>
      </c>
      <c r="E18" s="4">
        <v>45292</v>
      </c>
      <c r="F18" s="4">
        <v>47118</v>
      </c>
      <c r="G18">
        <v>24</v>
      </c>
      <c r="H18">
        <v>1813</v>
      </c>
      <c r="I18" s="1">
        <v>3393</v>
      </c>
      <c r="J18" s="1">
        <v>149</v>
      </c>
      <c r="K18" s="1">
        <f t="shared" si="0"/>
        <v>3542</v>
      </c>
      <c r="L18" s="1">
        <v>6786</v>
      </c>
      <c r="M18" t="s">
        <v>52</v>
      </c>
      <c r="N18" s="1">
        <f t="shared" si="1"/>
        <v>42504</v>
      </c>
      <c r="O18">
        <f t="shared" ca="1" si="2"/>
        <v>26</v>
      </c>
      <c r="P18">
        <v>0.7</v>
      </c>
      <c r="Q18" t="s">
        <v>27</v>
      </c>
    </row>
    <row r="19" spans="1:17" x14ac:dyDescent="0.3">
      <c r="A19">
        <v>18</v>
      </c>
      <c r="B19" t="s">
        <v>94</v>
      </c>
      <c r="C19" t="s">
        <v>95</v>
      </c>
      <c r="D19" t="s">
        <v>73</v>
      </c>
      <c r="E19" s="4">
        <v>45292</v>
      </c>
      <c r="F19" s="4">
        <v>47118</v>
      </c>
      <c r="G19">
        <v>48</v>
      </c>
      <c r="H19">
        <v>2019</v>
      </c>
      <c r="I19" s="1">
        <v>3011</v>
      </c>
      <c r="J19" s="1">
        <v>796</v>
      </c>
      <c r="K19" s="1">
        <f t="shared" si="0"/>
        <v>3807</v>
      </c>
      <c r="L19" s="1">
        <v>6022</v>
      </c>
      <c r="M19" t="s">
        <v>52</v>
      </c>
      <c r="N19" s="1">
        <f t="shared" si="1"/>
        <v>45684</v>
      </c>
      <c r="O19">
        <f t="shared" ca="1" si="2"/>
        <v>26</v>
      </c>
      <c r="P19">
        <v>0.8</v>
      </c>
      <c r="Q19" t="s">
        <v>57</v>
      </c>
    </row>
    <row r="20" spans="1:17" x14ac:dyDescent="0.3">
      <c r="A20">
        <v>19</v>
      </c>
      <c r="B20" t="s">
        <v>96</v>
      </c>
      <c r="C20" t="s">
        <v>97</v>
      </c>
      <c r="D20" t="s">
        <v>63</v>
      </c>
      <c r="E20" s="4">
        <v>45292</v>
      </c>
      <c r="F20" s="4">
        <v>47118</v>
      </c>
      <c r="G20">
        <v>36</v>
      </c>
      <c r="H20">
        <v>3026</v>
      </c>
      <c r="I20" s="1">
        <v>4722</v>
      </c>
      <c r="J20" s="1">
        <v>256</v>
      </c>
      <c r="K20" s="1">
        <f t="shared" si="0"/>
        <v>4978</v>
      </c>
      <c r="L20" s="1">
        <v>9444</v>
      </c>
      <c r="M20" t="s">
        <v>52</v>
      </c>
      <c r="N20" s="1">
        <f t="shared" si="1"/>
        <v>59736</v>
      </c>
      <c r="O20">
        <f t="shared" ca="1" si="2"/>
        <v>26</v>
      </c>
      <c r="P20">
        <v>0.7</v>
      </c>
      <c r="Q20" t="s">
        <v>60</v>
      </c>
    </row>
    <row r="21" spans="1:17" x14ac:dyDescent="0.3">
      <c r="A21">
        <v>20</v>
      </c>
      <c r="B21" t="s">
        <v>98</v>
      </c>
      <c r="C21" t="s">
        <v>99</v>
      </c>
      <c r="D21" t="s">
        <v>76</v>
      </c>
      <c r="E21" s="4">
        <v>45292</v>
      </c>
      <c r="F21" s="4">
        <v>47118</v>
      </c>
      <c r="G21">
        <v>36</v>
      </c>
      <c r="H21">
        <v>2524</v>
      </c>
      <c r="I21" s="1">
        <v>4899</v>
      </c>
      <c r="J21" s="1">
        <v>215</v>
      </c>
      <c r="K21" s="1">
        <f t="shared" si="0"/>
        <v>0</v>
      </c>
      <c r="L21" s="1">
        <v>8600</v>
      </c>
      <c r="M21" t="s">
        <v>68</v>
      </c>
      <c r="N21" s="1">
        <f t="shared" si="1"/>
        <v>0</v>
      </c>
      <c r="O21">
        <f t="shared" ca="1" si="2"/>
        <v>26</v>
      </c>
      <c r="P21">
        <v>0.8</v>
      </c>
      <c r="Q21" t="s">
        <v>53</v>
      </c>
    </row>
    <row r="22" spans="1:17" x14ac:dyDescent="0.3">
      <c r="A22">
        <v>21</v>
      </c>
      <c r="B22" t="s">
        <v>100</v>
      </c>
      <c r="C22" t="s">
        <v>101</v>
      </c>
      <c r="D22" t="s">
        <v>63</v>
      </c>
      <c r="E22" s="4">
        <v>45292</v>
      </c>
      <c r="F22" s="4">
        <v>47118</v>
      </c>
      <c r="G22">
        <v>60</v>
      </c>
      <c r="H22">
        <v>3107</v>
      </c>
      <c r="I22" s="1">
        <v>5151</v>
      </c>
      <c r="J22" s="1">
        <v>428</v>
      </c>
      <c r="K22" s="1">
        <f t="shared" si="0"/>
        <v>5579</v>
      </c>
      <c r="L22" s="1">
        <v>10302</v>
      </c>
      <c r="M22" t="s">
        <v>52</v>
      </c>
      <c r="N22" s="1">
        <f t="shared" si="1"/>
        <v>66948</v>
      </c>
      <c r="O22">
        <f t="shared" ca="1" si="2"/>
        <v>26</v>
      </c>
      <c r="P22">
        <v>0.8</v>
      </c>
      <c r="Q22" t="s">
        <v>60</v>
      </c>
    </row>
    <row r="23" spans="1:17" x14ac:dyDescent="0.3">
      <c r="A23">
        <v>22</v>
      </c>
      <c r="B23" t="s">
        <v>102</v>
      </c>
      <c r="C23" t="s">
        <v>103</v>
      </c>
      <c r="D23" t="s">
        <v>85</v>
      </c>
      <c r="E23" s="4">
        <v>45292</v>
      </c>
      <c r="F23" s="4">
        <v>47118</v>
      </c>
      <c r="G23">
        <v>24</v>
      </c>
      <c r="H23">
        <v>1261</v>
      </c>
      <c r="I23" s="1">
        <v>5618</v>
      </c>
      <c r="J23" s="1">
        <v>551</v>
      </c>
      <c r="K23" s="1">
        <f t="shared" si="0"/>
        <v>6169</v>
      </c>
      <c r="L23" s="1">
        <v>11236</v>
      </c>
      <c r="M23" t="s">
        <v>52</v>
      </c>
      <c r="N23" s="1">
        <f t="shared" si="1"/>
        <v>74028</v>
      </c>
      <c r="O23">
        <f t="shared" ca="1" si="2"/>
        <v>26</v>
      </c>
      <c r="P23">
        <v>0.8</v>
      </c>
      <c r="Q23" t="s">
        <v>60</v>
      </c>
    </row>
    <row r="24" spans="1:17" x14ac:dyDescent="0.3">
      <c r="A24">
        <v>23</v>
      </c>
      <c r="B24" t="s">
        <v>104</v>
      </c>
      <c r="C24" t="s">
        <v>105</v>
      </c>
      <c r="D24" t="s">
        <v>56</v>
      </c>
      <c r="E24" s="4">
        <v>45292</v>
      </c>
      <c r="F24" s="4">
        <v>47118</v>
      </c>
      <c r="G24">
        <v>60</v>
      </c>
      <c r="H24">
        <v>1268</v>
      </c>
      <c r="I24" s="1">
        <v>5465</v>
      </c>
      <c r="J24" s="1">
        <v>688</v>
      </c>
      <c r="K24" s="1">
        <f t="shared" si="0"/>
        <v>6153</v>
      </c>
      <c r="L24" s="1">
        <v>10930</v>
      </c>
      <c r="M24" t="s">
        <v>52</v>
      </c>
      <c r="N24" s="1">
        <f t="shared" si="1"/>
        <v>73836</v>
      </c>
      <c r="O24">
        <f t="shared" ca="1" si="2"/>
        <v>26</v>
      </c>
      <c r="P24">
        <v>0.8</v>
      </c>
      <c r="Q24" t="s">
        <v>60</v>
      </c>
    </row>
    <row r="25" spans="1:17" x14ac:dyDescent="0.3">
      <c r="A25">
        <v>24</v>
      </c>
      <c r="B25" t="s">
        <v>106</v>
      </c>
      <c r="C25" t="s">
        <v>107</v>
      </c>
      <c r="D25" t="s">
        <v>51</v>
      </c>
      <c r="E25" s="4">
        <v>45292</v>
      </c>
      <c r="F25" s="4">
        <v>47118</v>
      </c>
      <c r="G25">
        <v>24</v>
      </c>
      <c r="H25">
        <v>2559</v>
      </c>
      <c r="I25" s="1">
        <v>2678</v>
      </c>
      <c r="J25" s="1">
        <v>607</v>
      </c>
      <c r="K25" s="1">
        <f t="shared" si="0"/>
        <v>3285</v>
      </c>
      <c r="L25" s="1">
        <v>5356</v>
      </c>
      <c r="M25" t="s">
        <v>52</v>
      </c>
      <c r="N25" s="1">
        <f t="shared" si="1"/>
        <v>39420</v>
      </c>
      <c r="O25">
        <f t="shared" ca="1" si="2"/>
        <v>26</v>
      </c>
      <c r="P25">
        <v>0.6</v>
      </c>
      <c r="Q25" t="s">
        <v>57</v>
      </c>
    </row>
    <row r="26" spans="1:17" x14ac:dyDescent="0.3">
      <c r="A26">
        <v>25</v>
      </c>
      <c r="B26" t="s">
        <v>108</v>
      </c>
      <c r="C26" t="s">
        <v>109</v>
      </c>
      <c r="D26" t="s">
        <v>85</v>
      </c>
      <c r="E26" s="4">
        <v>45292</v>
      </c>
      <c r="F26" s="4">
        <v>47118</v>
      </c>
      <c r="G26">
        <v>36</v>
      </c>
      <c r="H26">
        <v>1017</v>
      </c>
      <c r="I26" s="1">
        <v>5719</v>
      </c>
      <c r="J26" s="1">
        <v>591</v>
      </c>
      <c r="K26" s="1">
        <f t="shared" si="0"/>
        <v>6310</v>
      </c>
      <c r="L26" s="1">
        <v>11438</v>
      </c>
      <c r="M26" t="s">
        <v>52</v>
      </c>
      <c r="N26" s="1">
        <f t="shared" si="1"/>
        <v>75720</v>
      </c>
      <c r="O26">
        <f t="shared" ca="1" si="2"/>
        <v>26</v>
      </c>
      <c r="P26">
        <v>0.9</v>
      </c>
      <c r="Q26" t="s">
        <v>53</v>
      </c>
    </row>
    <row r="27" spans="1:17" x14ac:dyDescent="0.3">
      <c r="A27">
        <v>26</v>
      </c>
      <c r="B27" t="s">
        <v>110</v>
      </c>
      <c r="C27" t="s">
        <v>111</v>
      </c>
      <c r="D27" t="s">
        <v>56</v>
      </c>
      <c r="E27" s="4">
        <v>45292</v>
      </c>
      <c r="F27" s="4">
        <v>47118</v>
      </c>
      <c r="G27">
        <v>48</v>
      </c>
      <c r="H27">
        <v>3351</v>
      </c>
      <c r="I27" s="1">
        <v>1964</v>
      </c>
      <c r="J27" s="1">
        <v>571</v>
      </c>
      <c r="K27" s="1">
        <f t="shared" si="0"/>
        <v>2535</v>
      </c>
      <c r="L27" s="1">
        <v>3928</v>
      </c>
      <c r="M27" t="s">
        <v>52</v>
      </c>
      <c r="N27" s="1">
        <f t="shared" si="1"/>
        <v>30420</v>
      </c>
      <c r="O27">
        <f t="shared" ca="1" si="2"/>
        <v>26</v>
      </c>
      <c r="P27">
        <v>0.7</v>
      </c>
      <c r="Q27" t="s">
        <v>27</v>
      </c>
    </row>
    <row r="28" spans="1:17" x14ac:dyDescent="0.3">
      <c r="A28">
        <v>27</v>
      </c>
      <c r="B28" t="s">
        <v>112</v>
      </c>
      <c r="C28" t="s">
        <v>113</v>
      </c>
      <c r="D28" t="s">
        <v>85</v>
      </c>
      <c r="E28" s="4">
        <v>45292</v>
      </c>
      <c r="F28" s="4">
        <v>47118</v>
      </c>
      <c r="G28">
        <v>24</v>
      </c>
      <c r="H28">
        <v>2306</v>
      </c>
      <c r="I28" s="1">
        <v>5215</v>
      </c>
      <c r="J28" s="1">
        <v>269</v>
      </c>
      <c r="K28" s="1">
        <f t="shared" si="0"/>
        <v>0</v>
      </c>
      <c r="L28" s="1">
        <v>8125</v>
      </c>
      <c r="M28" t="s">
        <v>68</v>
      </c>
      <c r="N28" s="1">
        <f t="shared" si="1"/>
        <v>0</v>
      </c>
      <c r="O28">
        <f t="shared" ca="1" si="2"/>
        <v>26</v>
      </c>
      <c r="P28">
        <v>0.7</v>
      </c>
      <c r="Q28" t="s">
        <v>53</v>
      </c>
    </row>
    <row r="29" spans="1:17" x14ac:dyDescent="0.3">
      <c r="A29">
        <v>28</v>
      </c>
      <c r="B29" t="s">
        <v>114</v>
      </c>
      <c r="C29" t="s">
        <v>115</v>
      </c>
      <c r="D29" t="s">
        <v>76</v>
      </c>
      <c r="E29" s="4">
        <v>45292</v>
      </c>
      <c r="F29" s="4">
        <v>47118</v>
      </c>
      <c r="G29">
        <v>48</v>
      </c>
      <c r="H29">
        <v>2895</v>
      </c>
      <c r="I29" s="1">
        <v>2248</v>
      </c>
      <c r="J29" s="1">
        <v>708</v>
      </c>
      <c r="K29" s="1">
        <f t="shared" si="0"/>
        <v>2956</v>
      </c>
      <c r="L29" s="1">
        <v>4496</v>
      </c>
      <c r="M29" t="s">
        <v>52</v>
      </c>
      <c r="N29" s="1">
        <f t="shared" si="1"/>
        <v>35472</v>
      </c>
      <c r="O29">
        <f t="shared" ca="1" si="2"/>
        <v>26</v>
      </c>
      <c r="P29">
        <v>0.7</v>
      </c>
      <c r="Q29" t="s">
        <v>60</v>
      </c>
    </row>
    <row r="30" spans="1:17" x14ac:dyDescent="0.3">
      <c r="A30">
        <v>29</v>
      </c>
      <c r="B30" t="s">
        <v>116</v>
      </c>
      <c r="C30" t="s">
        <v>117</v>
      </c>
      <c r="D30" t="s">
        <v>63</v>
      </c>
      <c r="E30" s="4">
        <v>45292</v>
      </c>
      <c r="F30" s="4">
        <v>47118</v>
      </c>
      <c r="G30">
        <v>36</v>
      </c>
      <c r="H30">
        <v>1664</v>
      </c>
      <c r="I30" s="1">
        <v>2946</v>
      </c>
      <c r="J30" s="1">
        <v>219</v>
      </c>
      <c r="K30" s="1">
        <f t="shared" si="0"/>
        <v>3165</v>
      </c>
      <c r="L30" s="1">
        <v>5892</v>
      </c>
      <c r="M30" t="s">
        <v>52</v>
      </c>
      <c r="N30" s="1">
        <f t="shared" si="1"/>
        <v>37980</v>
      </c>
      <c r="O30">
        <f t="shared" ca="1" si="2"/>
        <v>26</v>
      </c>
      <c r="P30">
        <v>0.6</v>
      </c>
      <c r="Q30" t="s">
        <v>60</v>
      </c>
    </row>
    <row r="31" spans="1:17" x14ac:dyDescent="0.3">
      <c r="A31">
        <v>30</v>
      </c>
      <c r="B31" t="s">
        <v>118</v>
      </c>
      <c r="C31" t="s">
        <v>119</v>
      </c>
      <c r="D31" t="s">
        <v>56</v>
      </c>
      <c r="E31" s="4">
        <v>45292</v>
      </c>
      <c r="F31" s="4">
        <v>47118</v>
      </c>
      <c r="G31">
        <v>36</v>
      </c>
      <c r="H31">
        <v>2127</v>
      </c>
      <c r="I31" s="1">
        <v>5614</v>
      </c>
      <c r="J31" s="1">
        <v>584</v>
      </c>
      <c r="K31" s="1">
        <f t="shared" si="0"/>
        <v>6198</v>
      </c>
      <c r="L31" s="1">
        <v>11228</v>
      </c>
      <c r="M31" t="s">
        <v>52</v>
      </c>
      <c r="N31" s="1">
        <f t="shared" si="1"/>
        <v>74376</v>
      </c>
      <c r="O31">
        <f t="shared" ca="1" si="2"/>
        <v>26</v>
      </c>
      <c r="P31">
        <v>0.7</v>
      </c>
      <c r="Q31" t="s">
        <v>60</v>
      </c>
    </row>
    <row r="32" spans="1:17" x14ac:dyDescent="0.3">
      <c r="A32">
        <v>31</v>
      </c>
      <c r="B32" t="s">
        <v>120</v>
      </c>
      <c r="C32" t="s">
        <v>121</v>
      </c>
      <c r="D32" t="s">
        <v>51</v>
      </c>
      <c r="E32" s="4">
        <v>45292</v>
      </c>
      <c r="F32" s="4">
        <v>47118</v>
      </c>
      <c r="G32">
        <v>60</v>
      </c>
      <c r="H32">
        <v>3043</v>
      </c>
      <c r="I32" s="1">
        <v>2409</v>
      </c>
      <c r="J32" s="1">
        <v>711</v>
      </c>
      <c r="K32" s="1">
        <f t="shared" si="0"/>
        <v>3120</v>
      </c>
      <c r="L32" s="1">
        <v>4818</v>
      </c>
      <c r="M32" t="s">
        <v>52</v>
      </c>
      <c r="N32" s="1">
        <f t="shared" si="1"/>
        <v>37440</v>
      </c>
      <c r="O32">
        <f t="shared" ca="1" si="2"/>
        <v>26</v>
      </c>
      <c r="P32">
        <v>0.8</v>
      </c>
      <c r="Q32" t="s">
        <v>53</v>
      </c>
    </row>
    <row r="33" spans="1:17" x14ac:dyDescent="0.3">
      <c r="A33">
        <v>32</v>
      </c>
      <c r="B33" t="s">
        <v>122</v>
      </c>
      <c r="C33" t="s">
        <v>123</v>
      </c>
      <c r="D33" t="s">
        <v>73</v>
      </c>
      <c r="E33" s="4">
        <v>45292</v>
      </c>
      <c r="F33" s="4">
        <v>47118</v>
      </c>
      <c r="G33">
        <v>24</v>
      </c>
      <c r="H33">
        <v>804</v>
      </c>
      <c r="I33" s="1">
        <v>3992</v>
      </c>
      <c r="J33" s="1">
        <v>226</v>
      </c>
      <c r="K33" s="1">
        <f t="shared" si="0"/>
        <v>4218</v>
      </c>
      <c r="L33" s="1">
        <v>7984</v>
      </c>
      <c r="M33" t="s">
        <v>52</v>
      </c>
      <c r="N33" s="1">
        <f t="shared" si="1"/>
        <v>50616</v>
      </c>
      <c r="O33">
        <f t="shared" ca="1" si="2"/>
        <v>26</v>
      </c>
      <c r="P33">
        <v>0.6</v>
      </c>
      <c r="Q33" t="s">
        <v>57</v>
      </c>
    </row>
    <row r="34" spans="1:17" x14ac:dyDescent="0.3">
      <c r="A34">
        <v>33</v>
      </c>
      <c r="B34" t="s">
        <v>124</v>
      </c>
      <c r="C34" t="s">
        <v>125</v>
      </c>
      <c r="D34" t="s">
        <v>51</v>
      </c>
      <c r="E34" s="4">
        <v>45292</v>
      </c>
      <c r="F34" s="4">
        <v>47118</v>
      </c>
      <c r="G34">
        <v>24</v>
      </c>
      <c r="H34">
        <v>886</v>
      </c>
      <c r="I34" s="1">
        <v>5631</v>
      </c>
      <c r="J34" s="1">
        <v>579</v>
      </c>
      <c r="K34" s="1">
        <f t="shared" ref="K34:K51" si="3">IF(M34="Occupied",I34+J34,0)</f>
        <v>6210</v>
      </c>
      <c r="L34" s="1">
        <v>11262</v>
      </c>
      <c r="M34" t="s">
        <v>52</v>
      </c>
      <c r="N34" s="1">
        <f t="shared" ref="N34:N51" si="4">K34*12</f>
        <v>74520</v>
      </c>
      <c r="O34">
        <f t="shared" ref="O34:O51" ca="1" si="5">DATEDIF(TODAY(),F34,"M")</f>
        <v>26</v>
      </c>
      <c r="P34">
        <v>0.8</v>
      </c>
      <c r="Q34" t="s">
        <v>60</v>
      </c>
    </row>
    <row r="35" spans="1:17" x14ac:dyDescent="0.3">
      <c r="A35">
        <v>34</v>
      </c>
      <c r="B35" t="s">
        <v>126</v>
      </c>
      <c r="C35" t="s">
        <v>127</v>
      </c>
      <c r="D35" t="s">
        <v>73</v>
      </c>
      <c r="E35" s="4">
        <v>45292</v>
      </c>
      <c r="F35" s="4">
        <v>47118</v>
      </c>
      <c r="G35">
        <v>60</v>
      </c>
      <c r="H35">
        <v>2111</v>
      </c>
      <c r="I35" s="1">
        <v>4999</v>
      </c>
      <c r="J35" s="1">
        <v>299</v>
      </c>
      <c r="K35" s="1">
        <f t="shared" si="3"/>
        <v>0</v>
      </c>
      <c r="L35" s="1">
        <v>7599</v>
      </c>
      <c r="M35" t="s">
        <v>68</v>
      </c>
      <c r="N35" s="1">
        <f t="shared" si="4"/>
        <v>0</v>
      </c>
      <c r="O35">
        <f t="shared" ca="1" si="5"/>
        <v>26</v>
      </c>
      <c r="P35">
        <v>0.7</v>
      </c>
      <c r="Q35" t="s">
        <v>53</v>
      </c>
    </row>
    <row r="36" spans="1:17" x14ac:dyDescent="0.3">
      <c r="A36">
        <v>35</v>
      </c>
      <c r="B36" t="s">
        <v>128</v>
      </c>
      <c r="C36" t="s">
        <v>129</v>
      </c>
      <c r="D36" t="s">
        <v>51</v>
      </c>
      <c r="E36" s="4">
        <v>45292</v>
      </c>
      <c r="F36" s="4">
        <v>47118</v>
      </c>
      <c r="G36">
        <v>24</v>
      </c>
      <c r="H36">
        <v>1222</v>
      </c>
      <c r="I36" s="1">
        <v>3236</v>
      </c>
      <c r="J36" s="1">
        <v>241</v>
      </c>
      <c r="K36" s="1">
        <f t="shared" si="3"/>
        <v>3477</v>
      </c>
      <c r="L36" s="1">
        <v>6472</v>
      </c>
      <c r="M36" t="s">
        <v>52</v>
      </c>
      <c r="N36" s="1">
        <f t="shared" si="4"/>
        <v>41724</v>
      </c>
      <c r="O36">
        <f t="shared" ca="1" si="5"/>
        <v>26</v>
      </c>
      <c r="P36">
        <v>0.6</v>
      </c>
      <c r="Q36" t="s">
        <v>57</v>
      </c>
    </row>
    <row r="37" spans="1:17" x14ac:dyDescent="0.3">
      <c r="A37">
        <v>36</v>
      </c>
      <c r="B37" t="s">
        <v>130</v>
      </c>
      <c r="C37" t="s">
        <v>131</v>
      </c>
      <c r="D37" t="s">
        <v>85</v>
      </c>
      <c r="E37" s="4">
        <v>45292</v>
      </c>
      <c r="F37" s="4">
        <v>47118</v>
      </c>
      <c r="G37">
        <v>48</v>
      </c>
      <c r="H37">
        <v>2411</v>
      </c>
      <c r="I37" s="1">
        <v>3781</v>
      </c>
      <c r="J37" s="1">
        <v>784</v>
      </c>
      <c r="K37" s="1">
        <f t="shared" si="3"/>
        <v>4565</v>
      </c>
      <c r="L37" s="1">
        <v>7562</v>
      </c>
      <c r="M37" t="s">
        <v>52</v>
      </c>
      <c r="N37" s="1">
        <f t="shared" si="4"/>
        <v>54780</v>
      </c>
      <c r="O37">
        <f t="shared" ca="1" si="5"/>
        <v>26</v>
      </c>
      <c r="P37">
        <v>0.7</v>
      </c>
      <c r="Q37" t="s">
        <v>60</v>
      </c>
    </row>
    <row r="38" spans="1:17" x14ac:dyDescent="0.3">
      <c r="A38">
        <v>37</v>
      </c>
      <c r="B38" t="s">
        <v>132</v>
      </c>
      <c r="C38" t="s">
        <v>133</v>
      </c>
      <c r="D38" t="s">
        <v>73</v>
      </c>
      <c r="E38" s="4">
        <v>45292</v>
      </c>
      <c r="F38" s="4">
        <v>47118</v>
      </c>
      <c r="G38">
        <v>60</v>
      </c>
      <c r="H38">
        <v>1213</v>
      </c>
      <c r="I38" s="1">
        <v>3249</v>
      </c>
      <c r="J38" s="1">
        <v>554</v>
      </c>
      <c r="K38" s="1">
        <f t="shared" si="3"/>
        <v>3803</v>
      </c>
      <c r="L38" s="1">
        <v>6498</v>
      </c>
      <c r="M38" t="s">
        <v>52</v>
      </c>
      <c r="N38" s="1">
        <f t="shared" si="4"/>
        <v>45636</v>
      </c>
      <c r="O38">
        <f t="shared" ca="1" si="5"/>
        <v>26</v>
      </c>
      <c r="P38">
        <v>0.6</v>
      </c>
      <c r="Q38" t="s">
        <v>60</v>
      </c>
    </row>
    <row r="39" spans="1:17" x14ac:dyDescent="0.3">
      <c r="A39">
        <v>38</v>
      </c>
      <c r="B39" t="s">
        <v>134</v>
      </c>
      <c r="C39" t="s">
        <v>135</v>
      </c>
      <c r="D39" t="s">
        <v>56</v>
      </c>
      <c r="E39" s="4">
        <v>45292</v>
      </c>
      <c r="F39" s="4">
        <v>47118</v>
      </c>
      <c r="G39">
        <v>48</v>
      </c>
      <c r="H39">
        <v>1416</v>
      </c>
      <c r="I39" s="1">
        <v>4355</v>
      </c>
      <c r="J39" s="1">
        <v>104</v>
      </c>
      <c r="K39" s="1">
        <f t="shared" si="3"/>
        <v>4459</v>
      </c>
      <c r="L39" s="1">
        <v>8710</v>
      </c>
      <c r="M39" t="s">
        <v>52</v>
      </c>
      <c r="N39" s="1">
        <f t="shared" si="4"/>
        <v>53508</v>
      </c>
      <c r="O39">
        <f t="shared" ca="1" si="5"/>
        <v>26</v>
      </c>
      <c r="P39">
        <v>0.7</v>
      </c>
      <c r="Q39" t="s">
        <v>57</v>
      </c>
    </row>
    <row r="40" spans="1:17" x14ac:dyDescent="0.3">
      <c r="A40">
        <v>39</v>
      </c>
      <c r="B40" t="s">
        <v>136</v>
      </c>
      <c r="C40" t="s">
        <v>137</v>
      </c>
      <c r="D40" t="s">
        <v>73</v>
      </c>
      <c r="E40" s="4">
        <v>45292</v>
      </c>
      <c r="F40" s="4">
        <v>47118</v>
      </c>
      <c r="G40">
        <v>24</v>
      </c>
      <c r="H40">
        <v>1716</v>
      </c>
      <c r="I40" s="1">
        <v>3745</v>
      </c>
      <c r="J40" s="1">
        <v>368</v>
      </c>
      <c r="K40" s="1">
        <f t="shared" si="3"/>
        <v>4113</v>
      </c>
      <c r="L40" s="1">
        <v>7490</v>
      </c>
      <c r="M40" t="s">
        <v>52</v>
      </c>
      <c r="N40" s="1">
        <f t="shared" si="4"/>
        <v>49356</v>
      </c>
      <c r="O40">
        <f t="shared" ca="1" si="5"/>
        <v>26</v>
      </c>
      <c r="P40">
        <v>0.6</v>
      </c>
      <c r="Q40" t="s">
        <v>27</v>
      </c>
    </row>
    <row r="41" spans="1:17" x14ac:dyDescent="0.3">
      <c r="A41">
        <v>40</v>
      </c>
      <c r="B41" t="s">
        <v>138</v>
      </c>
      <c r="C41" t="s">
        <v>139</v>
      </c>
      <c r="D41" t="s">
        <v>51</v>
      </c>
      <c r="E41" s="4">
        <v>45292</v>
      </c>
      <c r="F41" s="4">
        <v>47118</v>
      </c>
      <c r="G41">
        <v>36</v>
      </c>
      <c r="H41">
        <v>3042</v>
      </c>
      <c r="I41" s="1">
        <v>2928</v>
      </c>
      <c r="J41" s="1">
        <v>756</v>
      </c>
      <c r="K41" s="1">
        <f t="shared" si="3"/>
        <v>3684</v>
      </c>
      <c r="L41" s="1">
        <v>5856</v>
      </c>
      <c r="M41" t="s">
        <v>52</v>
      </c>
      <c r="N41" s="1">
        <f t="shared" si="4"/>
        <v>44208</v>
      </c>
      <c r="O41">
        <f t="shared" ca="1" si="5"/>
        <v>26</v>
      </c>
      <c r="P41">
        <v>0.6</v>
      </c>
      <c r="Q41" t="s">
        <v>60</v>
      </c>
    </row>
    <row r="42" spans="1:17" x14ac:dyDescent="0.3">
      <c r="A42">
        <v>41</v>
      </c>
      <c r="B42" t="s">
        <v>140</v>
      </c>
      <c r="C42" t="s">
        <v>141</v>
      </c>
      <c r="D42" t="s">
        <v>73</v>
      </c>
      <c r="E42" s="4">
        <v>45292</v>
      </c>
      <c r="F42" s="4">
        <v>47118</v>
      </c>
      <c r="G42">
        <v>48</v>
      </c>
      <c r="H42">
        <v>2807</v>
      </c>
      <c r="I42" s="1">
        <v>5988</v>
      </c>
      <c r="J42" s="1">
        <v>266</v>
      </c>
      <c r="K42" s="1">
        <f t="shared" si="3"/>
        <v>0</v>
      </c>
      <c r="L42" s="1">
        <v>8122</v>
      </c>
      <c r="M42" t="s">
        <v>68</v>
      </c>
      <c r="N42" s="1">
        <f t="shared" si="4"/>
        <v>0</v>
      </c>
      <c r="O42">
        <f t="shared" ca="1" si="5"/>
        <v>26</v>
      </c>
      <c r="P42">
        <v>0.6</v>
      </c>
      <c r="Q42" t="s">
        <v>57</v>
      </c>
    </row>
    <row r="43" spans="1:17" x14ac:dyDescent="0.3">
      <c r="A43">
        <v>42</v>
      </c>
      <c r="B43" t="s">
        <v>142</v>
      </c>
      <c r="C43" t="s">
        <v>143</v>
      </c>
      <c r="D43" t="s">
        <v>85</v>
      </c>
      <c r="E43" s="4">
        <v>45292</v>
      </c>
      <c r="F43" s="4">
        <v>47118</v>
      </c>
      <c r="G43">
        <v>48</v>
      </c>
      <c r="H43">
        <v>1856</v>
      </c>
      <c r="I43" s="1">
        <v>2347</v>
      </c>
      <c r="J43" s="1">
        <v>654</v>
      </c>
      <c r="K43" s="1">
        <f t="shared" si="3"/>
        <v>3001</v>
      </c>
      <c r="L43" s="1">
        <v>4694</v>
      </c>
      <c r="M43" t="s">
        <v>52</v>
      </c>
      <c r="N43" s="1">
        <f t="shared" si="4"/>
        <v>36012</v>
      </c>
      <c r="O43">
        <f t="shared" ca="1" si="5"/>
        <v>26</v>
      </c>
      <c r="P43">
        <v>0.7</v>
      </c>
      <c r="Q43" t="s">
        <v>53</v>
      </c>
    </row>
    <row r="44" spans="1:17" x14ac:dyDescent="0.3">
      <c r="A44">
        <v>43</v>
      </c>
      <c r="B44" t="s">
        <v>144</v>
      </c>
      <c r="C44" t="s">
        <v>145</v>
      </c>
      <c r="D44" t="s">
        <v>56</v>
      </c>
      <c r="E44" s="4">
        <v>45292</v>
      </c>
      <c r="F44" s="4">
        <v>47118</v>
      </c>
      <c r="G44">
        <v>24</v>
      </c>
      <c r="H44">
        <v>1118</v>
      </c>
      <c r="I44" s="1">
        <v>5404</v>
      </c>
      <c r="J44" s="1">
        <v>720</v>
      </c>
      <c r="K44" s="1">
        <f t="shared" si="3"/>
        <v>6124</v>
      </c>
      <c r="L44" s="1">
        <v>10808</v>
      </c>
      <c r="M44" t="s">
        <v>52</v>
      </c>
      <c r="N44" s="1">
        <f t="shared" si="4"/>
        <v>73488</v>
      </c>
      <c r="O44">
        <f t="shared" ca="1" si="5"/>
        <v>26</v>
      </c>
      <c r="P44">
        <v>0.9</v>
      </c>
      <c r="Q44" t="s">
        <v>27</v>
      </c>
    </row>
    <row r="45" spans="1:17" x14ac:dyDescent="0.3">
      <c r="A45">
        <v>44</v>
      </c>
      <c r="B45" t="s">
        <v>146</v>
      </c>
      <c r="C45" t="s">
        <v>147</v>
      </c>
      <c r="D45" t="s">
        <v>56</v>
      </c>
      <c r="E45" s="4">
        <v>45292</v>
      </c>
      <c r="F45" s="4">
        <v>47118</v>
      </c>
      <c r="G45">
        <v>36</v>
      </c>
      <c r="H45">
        <v>2542</v>
      </c>
      <c r="I45" s="1">
        <v>2244</v>
      </c>
      <c r="J45" s="1">
        <v>252</v>
      </c>
      <c r="K45" s="1">
        <f t="shared" si="3"/>
        <v>2496</v>
      </c>
      <c r="L45" s="1">
        <v>4488</v>
      </c>
      <c r="M45" t="s">
        <v>52</v>
      </c>
      <c r="N45" s="1">
        <f t="shared" si="4"/>
        <v>29952</v>
      </c>
      <c r="O45">
        <f t="shared" ca="1" si="5"/>
        <v>26</v>
      </c>
      <c r="P45">
        <v>0.6</v>
      </c>
      <c r="Q45" t="s">
        <v>57</v>
      </c>
    </row>
    <row r="46" spans="1:17" x14ac:dyDescent="0.3">
      <c r="A46">
        <v>45</v>
      </c>
      <c r="B46" t="s">
        <v>148</v>
      </c>
      <c r="C46" t="s">
        <v>149</v>
      </c>
      <c r="D46" t="s">
        <v>73</v>
      </c>
      <c r="E46" s="4">
        <v>45292</v>
      </c>
      <c r="F46" s="4">
        <v>47118</v>
      </c>
      <c r="G46">
        <v>24</v>
      </c>
      <c r="H46">
        <v>887</v>
      </c>
      <c r="I46" s="1">
        <v>5607</v>
      </c>
      <c r="J46" s="1">
        <v>546</v>
      </c>
      <c r="K46" s="1">
        <f t="shared" si="3"/>
        <v>6153</v>
      </c>
      <c r="L46" s="1">
        <v>11214</v>
      </c>
      <c r="M46" t="s">
        <v>52</v>
      </c>
      <c r="N46" s="1">
        <f t="shared" si="4"/>
        <v>73836</v>
      </c>
      <c r="O46">
        <f t="shared" ca="1" si="5"/>
        <v>26</v>
      </c>
      <c r="P46">
        <v>0.6</v>
      </c>
      <c r="Q46" t="s">
        <v>53</v>
      </c>
    </row>
    <row r="47" spans="1:17" x14ac:dyDescent="0.3">
      <c r="A47">
        <v>46</v>
      </c>
      <c r="B47" t="s">
        <v>150</v>
      </c>
      <c r="C47" t="s">
        <v>151</v>
      </c>
      <c r="D47" t="s">
        <v>51</v>
      </c>
      <c r="E47" s="4">
        <v>45292</v>
      </c>
      <c r="F47" s="4">
        <v>47118</v>
      </c>
      <c r="G47">
        <v>48</v>
      </c>
      <c r="H47">
        <v>3203</v>
      </c>
      <c r="I47" s="1">
        <v>5340</v>
      </c>
      <c r="J47" s="1">
        <v>437</v>
      </c>
      <c r="K47" s="1">
        <f t="shared" si="3"/>
        <v>5777</v>
      </c>
      <c r="L47" s="1">
        <v>10680</v>
      </c>
      <c r="M47" t="s">
        <v>52</v>
      </c>
      <c r="N47" s="1">
        <f t="shared" si="4"/>
        <v>69324</v>
      </c>
      <c r="O47">
        <f t="shared" ca="1" si="5"/>
        <v>26</v>
      </c>
      <c r="P47">
        <v>0.6</v>
      </c>
      <c r="Q47" t="s">
        <v>53</v>
      </c>
    </row>
    <row r="48" spans="1:17" x14ac:dyDescent="0.3">
      <c r="A48">
        <v>47</v>
      </c>
      <c r="B48" t="s">
        <v>152</v>
      </c>
      <c r="C48" t="s">
        <v>153</v>
      </c>
      <c r="D48" t="s">
        <v>76</v>
      </c>
      <c r="E48" s="4">
        <v>45292</v>
      </c>
      <c r="F48" s="4">
        <v>47118</v>
      </c>
      <c r="G48">
        <v>48</v>
      </c>
      <c r="H48">
        <v>2490</v>
      </c>
      <c r="I48" s="1">
        <v>4870</v>
      </c>
      <c r="J48" s="1">
        <v>437</v>
      </c>
      <c r="K48" s="1">
        <f t="shared" si="3"/>
        <v>5307</v>
      </c>
      <c r="L48" s="1">
        <v>9740</v>
      </c>
      <c r="M48" t="s">
        <v>52</v>
      </c>
      <c r="N48" s="1">
        <f t="shared" si="4"/>
        <v>63684</v>
      </c>
      <c r="O48">
        <f t="shared" ca="1" si="5"/>
        <v>26</v>
      </c>
      <c r="P48">
        <v>0.7</v>
      </c>
      <c r="Q48" t="s">
        <v>60</v>
      </c>
    </row>
    <row r="49" spans="1:17" x14ac:dyDescent="0.3">
      <c r="A49">
        <v>48</v>
      </c>
      <c r="B49" t="s">
        <v>154</v>
      </c>
      <c r="C49" t="s">
        <v>155</v>
      </c>
      <c r="D49" t="s">
        <v>85</v>
      </c>
      <c r="E49" s="4">
        <v>45292</v>
      </c>
      <c r="F49" s="4">
        <v>47118</v>
      </c>
      <c r="G49">
        <v>36</v>
      </c>
      <c r="H49">
        <v>2883</v>
      </c>
      <c r="I49" s="1">
        <v>4988</v>
      </c>
      <c r="J49" s="1">
        <v>275</v>
      </c>
      <c r="K49" s="1">
        <f t="shared" si="3"/>
        <v>0</v>
      </c>
      <c r="L49" s="1">
        <v>7899</v>
      </c>
      <c r="M49" t="s">
        <v>68</v>
      </c>
      <c r="N49" s="1">
        <f t="shared" si="4"/>
        <v>0</v>
      </c>
      <c r="O49">
        <f t="shared" ca="1" si="5"/>
        <v>26</v>
      </c>
      <c r="P49">
        <v>0.8</v>
      </c>
      <c r="Q49" t="s">
        <v>27</v>
      </c>
    </row>
    <row r="50" spans="1:17" x14ac:dyDescent="0.3">
      <c r="A50">
        <v>49</v>
      </c>
      <c r="B50" t="s">
        <v>156</v>
      </c>
      <c r="C50" t="s">
        <v>157</v>
      </c>
      <c r="D50" t="s">
        <v>85</v>
      </c>
      <c r="E50" s="4">
        <v>45292</v>
      </c>
      <c r="F50" s="4">
        <v>47118</v>
      </c>
      <c r="G50">
        <v>36</v>
      </c>
      <c r="H50">
        <v>2181</v>
      </c>
      <c r="I50" s="1">
        <v>2059</v>
      </c>
      <c r="J50" s="1">
        <v>514</v>
      </c>
      <c r="K50" s="1">
        <f t="shared" si="3"/>
        <v>2573</v>
      </c>
      <c r="L50" s="1">
        <v>4118</v>
      </c>
      <c r="M50" t="s">
        <v>52</v>
      </c>
      <c r="N50" s="1">
        <f t="shared" si="4"/>
        <v>30876</v>
      </c>
      <c r="O50">
        <f t="shared" ca="1" si="5"/>
        <v>26</v>
      </c>
      <c r="P50">
        <v>0.6</v>
      </c>
      <c r="Q50" t="s">
        <v>60</v>
      </c>
    </row>
    <row r="51" spans="1:17" x14ac:dyDescent="0.3">
      <c r="A51">
        <v>50</v>
      </c>
      <c r="B51" t="s">
        <v>158</v>
      </c>
      <c r="C51" t="s">
        <v>159</v>
      </c>
      <c r="D51" t="s">
        <v>56</v>
      </c>
      <c r="E51" s="4">
        <v>45292</v>
      </c>
      <c r="F51" s="4">
        <v>47118</v>
      </c>
      <c r="G51">
        <v>48</v>
      </c>
      <c r="H51">
        <v>966</v>
      </c>
      <c r="I51" s="1">
        <v>4890</v>
      </c>
      <c r="J51" s="1">
        <v>308</v>
      </c>
      <c r="K51" s="1">
        <f t="shared" si="3"/>
        <v>5198</v>
      </c>
      <c r="L51" s="1">
        <v>9780</v>
      </c>
      <c r="M51" t="s">
        <v>52</v>
      </c>
      <c r="N51" s="1">
        <f t="shared" si="4"/>
        <v>62376</v>
      </c>
      <c r="O51">
        <f t="shared" ca="1" si="5"/>
        <v>26</v>
      </c>
      <c r="P51">
        <v>0.7</v>
      </c>
      <c r="Q51" t="s">
        <v>53</v>
      </c>
    </row>
  </sheetData>
  <conditionalFormatting sqref="M1:M1048576">
    <cfRule type="containsText" dxfId="0" priority="1" operator="containsText" text="Vacant">
      <formula>NOT(ISERROR(SEARCH("Vacant",M1)))</formula>
    </cfRule>
  </conditionalFormatting>
  <pageMargins left="0.7" right="0.7" top="0.75" bottom="0.75" header="0.3" footer="0.3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24A27-8E13-4836-A9ED-5420714EE9B4}">
  <dimension ref="A1:M2"/>
  <sheetViews>
    <sheetView tabSelected="1" workbookViewId="0">
      <selection activeCell="M2" sqref="M2"/>
    </sheetView>
  </sheetViews>
  <sheetFormatPr defaultRowHeight="14.4" x14ac:dyDescent="0.3"/>
  <cols>
    <col min="1" max="1" width="9.88671875" bestFit="1" customWidth="1"/>
    <col min="2" max="2" width="13.33203125" bestFit="1" customWidth="1"/>
    <col min="3" max="3" width="11.33203125" bestFit="1" customWidth="1"/>
    <col min="4" max="4" width="19.6640625" bestFit="1" customWidth="1"/>
    <col min="5" max="5" width="16.77734375" bestFit="1" customWidth="1"/>
    <col min="6" max="6" width="15.5546875" bestFit="1" customWidth="1"/>
    <col min="7" max="7" width="19.21875" bestFit="1" customWidth="1"/>
    <col min="8" max="8" width="14.44140625" bestFit="1" customWidth="1"/>
    <col min="9" max="9" width="17.44140625" bestFit="1" customWidth="1"/>
    <col min="10" max="10" width="17" bestFit="1" customWidth="1"/>
    <col min="11" max="11" width="19.77734375" bestFit="1" customWidth="1"/>
    <col min="12" max="12" width="12.44140625" bestFit="1" customWidth="1"/>
    <col min="13" max="13" width="13.6640625" bestFit="1" customWidth="1"/>
  </cols>
  <sheetData>
    <row r="1" spans="1:13" x14ac:dyDescent="0.3">
      <c r="A1" s="2" t="s">
        <v>160</v>
      </c>
      <c r="B1" s="2" t="s">
        <v>161</v>
      </c>
      <c r="C1" s="2" t="s">
        <v>162</v>
      </c>
      <c r="D1" s="2" t="s">
        <v>163</v>
      </c>
      <c r="E1" s="2" t="s">
        <v>164</v>
      </c>
      <c r="F1" s="2" t="s">
        <v>165</v>
      </c>
      <c r="G1" s="2" t="s">
        <v>166</v>
      </c>
      <c r="H1" s="2" t="s">
        <v>167</v>
      </c>
      <c r="I1" s="2" t="s">
        <v>168</v>
      </c>
      <c r="J1" s="2" t="s">
        <v>169</v>
      </c>
      <c r="K1" s="2" t="s">
        <v>170</v>
      </c>
      <c r="L1" s="2" t="s">
        <v>171</v>
      </c>
      <c r="M1" s="2" t="s">
        <v>172</v>
      </c>
    </row>
    <row r="2" spans="1:13" x14ac:dyDescent="0.3">
      <c r="A2">
        <f>COUNTA('Rent Roll Data'!A2:A51)</f>
        <v>50</v>
      </c>
      <c r="B2">
        <f>COUNTIF('Rent Roll Data'!M2:M51,"Occupied")</f>
        <v>43</v>
      </c>
      <c r="C2">
        <f>COUNTIF('Rent Roll Data'!M2:M51,"Vacant")</f>
        <v>7</v>
      </c>
      <c r="D2" s="5">
        <f>B2/A2</f>
        <v>0.86</v>
      </c>
      <c r="E2" s="1">
        <f>SUM('Rent Roll Data'!K2:K51)</f>
        <v>195139</v>
      </c>
      <c r="F2" s="1">
        <f>SUM('Rent Roll Data'!N2:N51)</f>
        <v>2341668</v>
      </c>
      <c r="G2" s="1">
        <f ca="1">AVERAGE('Rent Roll Data'!A11:AX11)</f>
        <v>14934.408333333333</v>
      </c>
      <c r="H2">
        <f>MAX('Rent Roll Data'!H2:H51)</f>
        <v>3351</v>
      </c>
      <c r="I2" s="1">
        <f>MAX('Rent Roll Data'!N2:N51)</f>
        <v>77088</v>
      </c>
      <c r="J2" s="1">
        <f>'Property Information'!S2</f>
        <v>450000</v>
      </c>
      <c r="K2" s="1">
        <f>'Property Information'!T2</f>
        <v>120000</v>
      </c>
      <c r="L2" s="1">
        <f>F2-(J2+K2)</f>
        <v>1771668</v>
      </c>
      <c r="M2" s="1">
        <f>L2/'Property Information'!R2</f>
        <v>27256430.769230768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Property Information</vt:lpstr>
      <vt:lpstr>Rent Roll Data</vt:lpstr>
      <vt:lpstr>Appraisal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MohammedAffanSaqibHu</dc:creator>
  <cp:lastModifiedBy>Mohammed Affan Saqib Hussain</cp:lastModifiedBy>
  <dcterms:created xsi:type="dcterms:W3CDTF">2026-10-07T05:56:03Z</dcterms:created>
  <dcterms:modified xsi:type="dcterms:W3CDTF">2026-10-07T09:10:23Z</dcterms:modified>
</cp:coreProperties>
</file>